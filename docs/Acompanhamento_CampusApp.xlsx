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.github\docs\"/>
    </mc:Choice>
  </mc:AlternateContent>
  <xr:revisionPtr revIDLastSave="0" documentId="8_{08AA0B1B-9AE5-4703-9593-57D4CFD01FBE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Dashboard" sheetId="1" r:id="rId1"/>
    <sheet name="RadarNeuro" sheetId="2" r:id="rId2"/>
    <sheet name="EAgoraAdulto" sheetId="3" r:id="rId3"/>
    <sheet name="Sincronize" sheetId="4" r:id="rId4"/>
    <sheet name="Anbylize" sheetId="5" r:id="rId5"/>
    <sheet name="Monitorizador" sheetId="6" r:id="rId6"/>
    <sheet name="FlowUp" sheetId="7" r:id="rId7"/>
  </sheets>
  <definedNames>
    <definedName name="_xlnm._FilterDatabase" localSheetId="4" hidden="1">Anbylize!$A$1:$I$37</definedName>
    <definedName name="_xlnm._FilterDatabase" localSheetId="2" hidden="1">EAgoraAdulto!$A$1:$I$40</definedName>
    <definedName name="_xlnm._FilterDatabase" localSheetId="6" hidden="1">FlowUp!$A$1:$I$35</definedName>
    <definedName name="_xlnm._FilterDatabase" localSheetId="5" hidden="1">Monitorizador!$A$1:$I$35</definedName>
    <definedName name="_xlnm._FilterDatabase" localSheetId="1" hidden="1">RadarNeuro!$A$1:$I$45</definedName>
    <definedName name="_xlnm._FilterDatabase" localSheetId="3" hidden="1">Sincronize!$A$1:$I$39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7" l="1"/>
  <c r="F37" i="7"/>
  <c r="F38" i="6"/>
  <c r="F37" i="6"/>
  <c r="F40" i="5"/>
  <c r="F39" i="5"/>
  <c r="F42" i="4"/>
  <c r="F41" i="4"/>
  <c r="F43" i="3"/>
  <c r="F42" i="3"/>
  <c r="F48" i="2"/>
  <c r="F47" i="2"/>
  <c r="K11" i="1"/>
  <c r="J11" i="1"/>
  <c r="H11" i="1"/>
  <c r="G11" i="1"/>
  <c r="F11" i="1"/>
  <c r="E11" i="1"/>
  <c r="I11" i="1" s="1"/>
  <c r="D11" i="1"/>
  <c r="K10" i="1"/>
  <c r="J10" i="1"/>
  <c r="H10" i="1"/>
  <c r="G10" i="1"/>
  <c r="F10" i="1"/>
  <c r="E10" i="1"/>
  <c r="D10" i="1"/>
  <c r="I10" i="1" s="1"/>
  <c r="K9" i="1"/>
  <c r="J9" i="1"/>
  <c r="H9" i="1"/>
  <c r="G9" i="1"/>
  <c r="F9" i="1"/>
  <c r="E9" i="1"/>
  <c r="I9" i="1" s="1"/>
  <c r="D9" i="1"/>
  <c r="K8" i="1"/>
  <c r="J8" i="1"/>
  <c r="H8" i="1"/>
  <c r="G8" i="1"/>
  <c r="F8" i="1"/>
  <c r="E8" i="1"/>
  <c r="D8" i="1"/>
  <c r="I8" i="1" s="1"/>
  <c r="K7" i="1"/>
  <c r="J7" i="1"/>
  <c r="H7" i="1"/>
  <c r="G7" i="1"/>
  <c r="F7" i="1"/>
  <c r="E7" i="1"/>
  <c r="I7" i="1" s="1"/>
  <c r="D7" i="1"/>
  <c r="K6" i="1"/>
  <c r="K12" i="1" s="1"/>
  <c r="J6" i="1"/>
  <c r="J12" i="1" s="1"/>
  <c r="H6" i="1"/>
  <c r="H12" i="1" s="1"/>
  <c r="G6" i="1"/>
  <c r="G12" i="1" s="1"/>
  <c r="F6" i="1"/>
  <c r="F12" i="1" s="1"/>
  <c r="E6" i="1"/>
  <c r="E12" i="1" s="1"/>
  <c r="D6" i="1"/>
  <c r="D12" i="1" s="1"/>
  <c r="I12" i="1" s="1"/>
  <c r="I6" i="1" l="1"/>
</calcChain>
</file>

<file path=xl/sharedStrings.xml><?xml version="1.0" encoding="utf-8"?>
<sst xmlns="http://schemas.openxmlformats.org/spreadsheetml/2006/main" count="1222" uniqueCount="529">
  <si>
    <t>Campus App 2025 — Painel de Acompanhamento</t>
  </si>
  <si>
    <t>Desenvolvimento de Dispositivos Móveis · IFTM Campus Uberlândia · Prof. Edson Angoti Júnior</t>
  </si>
  <si>
    <t>Equipe / Projeto</t>
  </si>
  <si>
    <t>Integrantes</t>
  </si>
  <si>
    <t>Total de cards</t>
  </si>
  <si>
    <t>Feito</t>
  </si>
  <si>
    <t>Fazendo</t>
  </si>
  <si>
    <t>Em Review</t>
  </si>
  <si>
    <t>A Fazer / Backlog</t>
  </si>
  <si>
    <t>% Concluído</t>
  </si>
  <si>
    <t>Aulas estimadas</t>
  </si>
  <si>
    <t>Aulas concluídas</t>
  </si>
  <si>
    <t>Radar Neurodivergente</t>
  </si>
  <si>
    <t>Ana Beatriz Ramos Del Padre (+ equipe)</t>
  </si>
  <si>
    <t>E Agora, Adulto?</t>
  </si>
  <si>
    <t>Felipe, Gabriel, Heitor, Philipe, Vitor Hugo</t>
  </si>
  <si>
    <t>Sincronize</t>
  </si>
  <si>
    <t>Alexandre, Giovana, Lara, M. Eduarda, Matheus, Rian</t>
  </si>
  <si>
    <t>Anbylize</t>
  </si>
  <si>
    <t>Luiza Brandão Nunes (+ equipe)</t>
  </si>
  <si>
    <t>Monitorizador</t>
  </si>
  <si>
    <t>Miguel Antonio Alves Gontijo (+ equipe)</t>
  </si>
  <si>
    <t>FlowUp</t>
  </si>
  <si>
    <t>Rafael Costa Fernandes (+ equipe)</t>
  </si>
  <si>
    <t>TOTAL DA TURMA</t>
  </si>
  <si>
    <t>Como usar:</t>
  </si>
  <si>
    <t>1. Cada equipe tem uma aba com todos os cards do kanban (mesmos IDs dos arquivos Kanban_*.md).</t>
  </si>
  <si>
    <t>2. Atualize apenas as colunas Status e Responsável nas abas das equipes — o Dashboard recalcula sozinho.</t>
  </si>
  <si>
    <t>3. Status disponíveis: Backlog · A Fazer · Fazendo · Em Review · Feito (lista suspensa na célula).</t>
  </si>
  <si>
    <t>4. A coluna Sprint indica a quinzena planejada: 1 = Sem. 5–6 · 2 = Sem. 7–8 · 3 = Sem. 9–10.</t>
  </si>
  <si>
    <t>5. Estimativas em aulas (1 aula ≈ 50 min). Aulas concluídas somam apenas cards com status Feito.</t>
  </si>
  <si>
    <t>ID</t>
  </si>
  <si>
    <t>Issue</t>
  </si>
  <si>
    <t>Card (atividade)</t>
  </si>
  <si>
    <t>Prioridade</t>
  </si>
  <si>
    <t>Sprint</t>
  </si>
  <si>
    <t>Est. (aulas)</t>
  </si>
  <si>
    <t>Status</t>
  </si>
  <si>
    <t>Responsável</t>
  </si>
  <si>
    <t>Observações</t>
  </si>
  <si>
    <t>RND-01.1</t>
  </si>
  <si>
    <t>RND-01</t>
  </si>
  <si>
    <t>Criar projeto no Firebase e ativar Auth (e-mail/senha)</t>
  </si>
  <si>
    <t>M</t>
  </si>
  <si>
    <t>A Fazer</t>
  </si>
  <si>
    <t>RND-01.2</t>
  </si>
  <si>
    <t>Instalar e configurar SDK do Firebase no Expo</t>
  </si>
  <si>
    <t>RND-01.3</t>
  </si>
  <si>
    <t>Construir UI da tela de Login</t>
  </si>
  <si>
    <t>RND-01.4</t>
  </si>
  <si>
    <t>Construir UI da tela de Cadastro</t>
  </si>
  <si>
    <t>RND-01.5</t>
  </si>
  <si>
    <t>Integrar createUserWithEmailAndPassword</t>
  </si>
  <si>
    <t>RND-01.6</t>
  </si>
  <si>
    <t>Integrar signInWithEmailAndPassword</t>
  </si>
  <si>
    <t>RND-01.7</t>
  </si>
  <si>
    <t>Testar fluxo completo no dispositivo físico</t>
  </si>
  <si>
    <t>RND-02.1</t>
  </si>
  <si>
    <t>RND-02</t>
  </si>
  <si>
    <t>Criar AuthContext (usuario, carregando)</t>
  </si>
  <si>
    <t>RND-02.2</t>
  </si>
  <si>
    <t>Navegação condicional (auth ↔ app)</t>
  </si>
  <si>
    <t>RND-02.3</t>
  </si>
  <si>
    <t>Persistir sessão (onAuthStateChanged + AsyncStorage)</t>
  </si>
  <si>
    <t>RND-02.4</t>
  </si>
  <si>
    <t>Implementar logout()</t>
  </si>
  <si>
    <t>RND-03.1</t>
  </si>
  <si>
    <t>RND-03</t>
  </si>
  <si>
    <t>Coleção usuarios no Firestore</t>
  </si>
  <si>
    <t>RND-03.2</t>
  </si>
  <si>
    <t>Seleção de tipo (aluno/apoio via código)</t>
  </si>
  <si>
    <t>RND-03.3</t>
  </si>
  <si>
    <t>Carregar tipo no AuthContext</t>
  </si>
  <si>
    <t>RND-03.4</t>
  </si>
  <si>
    <t>Rotear Home por tipo de perfil</t>
  </si>
  <si>
    <t>RND-04.1</t>
  </si>
  <si>
    <t>RND-04</t>
  </si>
  <si>
    <t>UI da Home do aluno com botão Emergência</t>
  </si>
  <si>
    <t>Backlog</t>
  </si>
  <si>
    <t>RND-04.2</t>
  </si>
  <si>
    <t>Coleção alertas + função dispararAlerta()</t>
  </si>
  <si>
    <t>RND-04.3</t>
  </si>
  <si>
    <t>Tela EmergenciaConfirmada</t>
  </si>
  <si>
    <t>RND-04.4</t>
  </si>
  <si>
    <t>Feedback tátil/visual no acionamento</t>
  </si>
  <si>
    <t>RND-04.5</t>
  </si>
  <si>
    <t>Garantir acionamento em até 2 toques</t>
  </si>
  <si>
    <t>RND-05.1</t>
  </si>
  <si>
    <t>RND-05</t>
  </si>
  <si>
    <t>UI do painel: FlatList de alertas abertos</t>
  </si>
  <si>
    <t>RND-05.2</t>
  </si>
  <si>
    <t>onSnapshot filtrando status aberto</t>
  </si>
  <si>
    <t>RND-05.3</t>
  </si>
  <si>
    <t>Botão Marcar como atendido</t>
  </si>
  <si>
    <t>RND-05.4</t>
  </si>
  <si>
    <t>Destacar alertas com +5 min sem atendimento</t>
  </si>
  <si>
    <t>RND-05.5</t>
  </si>
  <si>
    <t>Teste integrado com 2 celulares</t>
  </si>
  <si>
    <t>RND-06.1</t>
  </si>
  <si>
    <t>RND-06</t>
  </si>
  <si>
    <t>Validar roteiro de acolhimento com o CAPNE</t>
  </si>
  <si>
    <t>RND-06.2</t>
  </si>
  <si>
    <t>Modelar roteiro como array de passos</t>
  </si>
  <si>
    <t>RND-06.3</t>
  </si>
  <si>
    <t>UI de conversa guiada (bolhas + botões)</t>
  </si>
  <si>
    <t>RND-06.4</t>
  </si>
  <si>
    <t>Salvar respostas no documento do alerta</t>
  </si>
  <si>
    <t>RND-07.1</t>
  </si>
  <si>
    <t>RND-07</t>
  </si>
  <si>
    <t>Modelar coleção conversas/mensagens</t>
  </si>
  <si>
    <t>RND-07.2</t>
  </si>
  <si>
    <t>UI do chat (FlatList invertida + input)</t>
  </si>
  <si>
    <t>RND-07.3</t>
  </si>
  <si>
    <t>Envio/recebimento com onSnapshot</t>
  </si>
  <si>
    <t>RND-07.4</t>
  </si>
  <si>
    <t>Listar conversas no painel do apoio</t>
  </si>
  <si>
    <t>RND-08.1</t>
  </si>
  <si>
    <t>RND-08</t>
  </si>
  <si>
    <t>Campos visivelNaBusca e interesses no perfil</t>
  </si>
  <si>
    <t>S</t>
  </si>
  <si>
    <t>RND-08.2</t>
  </si>
  <si>
    <t>Tela de busca com filtro por interesse</t>
  </si>
  <si>
    <t>RND-08.3</t>
  </si>
  <si>
    <t>Iniciar conversa reutilizando o chat</t>
  </si>
  <si>
    <t>RND-09.1</t>
  </si>
  <si>
    <t>RND-09</t>
  </si>
  <si>
    <t>ThemeContext com paletas clara/escura</t>
  </si>
  <si>
    <t>RND-09.2</t>
  </si>
  <si>
    <t>Persistir tema no AsyncStorage</t>
  </si>
  <si>
    <t>RND-09.3</t>
  </si>
  <si>
    <t>Auditar contraste no tema escuro</t>
  </si>
  <si>
    <t>RND-10.1</t>
  </si>
  <si>
    <t>RND-10</t>
  </si>
  <si>
    <t>Tela de perfil com modo de edição</t>
  </si>
  <si>
    <t>RND-10.2</t>
  </si>
  <si>
    <t>Salvar alterações com feedback</t>
  </si>
  <si>
    <t>RND-QA.1</t>
  </si>
  <si>
    <t>QA</t>
  </si>
  <si>
    <t>Teste cruzado + registro de bugs</t>
  </si>
  <si>
    <t>RND-QA.2</t>
  </si>
  <si>
    <t>Corrigir bugs priorizados</t>
  </si>
  <si>
    <t>RND-QA.3</t>
  </si>
  <si>
    <t>Revisão final de acessibilidade</t>
  </si>
  <si>
    <t>Total de aulas estimadas:</t>
  </si>
  <si>
    <t>Aulas concluídas (Feito):</t>
  </si>
  <si>
    <t>EAA-01.1</t>
  </si>
  <si>
    <t>EAA-01</t>
  </si>
  <si>
    <t>Criar projeto Firebase e ativar Auth</t>
  </si>
  <si>
    <t>EAA-01.2</t>
  </si>
  <si>
    <t>UI das telas de Login e Cadastro</t>
  </si>
  <si>
    <t>EAA-01.3</t>
  </si>
  <si>
    <t>Integrar cadastro/login com Firebase Auth</t>
  </si>
  <si>
    <t>EAA-01.4</t>
  </si>
  <si>
    <t>AuthContext com navegação condicional</t>
  </si>
  <si>
    <t>EAA-01.5</t>
  </si>
  <si>
    <t>Persistir sessão (AsyncStorage)</t>
  </si>
  <si>
    <t>EAA-02.1</t>
  </si>
  <si>
    <t>EAA-02</t>
  </si>
  <si>
    <t>Definir e documentar schema de progresso</t>
  </si>
  <si>
    <t>EAA-02.2</t>
  </si>
  <si>
    <t>Criar documento progresso/{uid} no 1º login</t>
  </si>
  <si>
    <t>EAA-02.3</t>
  </si>
  <si>
    <t>Hook useProgresso() (ler + atualizar)</t>
  </si>
  <si>
    <t>EAA-02.4</t>
  </si>
  <si>
    <t>Testar sincronização entre 2 celulares</t>
  </si>
  <si>
    <t>EAA-03.1</t>
  </si>
  <si>
    <t>EAA-03</t>
  </si>
  <si>
    <t>Schema JSON da lição + 1 lição-modelo</t>
  </si>
  <si>
    <t>EAA-03.2</t>
  </si>
  <si>
    <t>Escrever 9 lições da trilha Emprego</t>
  </si>
  <si>
    <t>EAA-03.3</t>
  </si>
  <si>
    <t>Escrever 9 lições da trilha Faculdade</t>
  </si>
  <si>
    <t>EAA-03.4</t>
  </si>
  <si>
    <t>Escrever 9 lições da trilha Financeiro</t>
  </si>
  <si>
    <t>EAA-03.5</t>
  </si>
  <si>
    <t>Revisão do conteúdo por professor</t>
  </si>
  <si>
    <t>EAA-03.6</t>
  </si>
  <si>
    <t>Carregar lições no Firestore</t>
  </si>
  <si>
    <t>EAA-04.1</t>
  </si>
  <si>
    <t>EAA-04</t>
  </si>
  <si>
    <t>Seletor de trilhas na Home</t>
  </si>
  <si>
    <t>EAA-04.2</t>
  </si>
  <si>
    <t>Componente MapaTrilha (caminho de fases)</t>
  </si>
  <si>
    <t>EAA-04.3</t>
  </si>
  <si>
    <t>3 estados visuais da fase</t>
  </si>
  <si>
    <t>EAA-04.4</t>
  </si>
  <si>
    <t>Navegação fase → LicaoScreen</t>
  </si>
  <si>
    <t>EAA-05.1</t>
  </si>
  <si>
    <t>EAA-05</t>
  </si>
  <si>
    <t>UI da lição (título, texto, progresso)</t>
  </si>
  <si>
    <t>EAA-05.2</t>
  </si>
  <si>
    <t>Botão Fazer Quiz só ao final da rolagem</t>
  </si>
  <si>
    <t>EAA-05.3</t>
  </si>
  <si>
    <t>Voltar sem concluir não marca a lição</t>
  </si>
  <si>
    <t>EAA-06.1</t>
  </si>
  <si>
    <t>EAA-06</t>
  </si>
  <si>
    <t>UI do quiz (pergunta + opções)</t>
  </si>
  <si>
    <t>EAA-06.2</t>
  </si>
  <si>
    <t>Feedback imediato por questão</t>
  </si>
  <si>
    <t>EAA-06.3</t>
  </si>
  <si>
    <t>Regra de aprovação ≥2/3 + tela de resultado</t>
  </si>
  <si>
    <t>EAA-06.4</t>
  </si>
  <si>
    <t>Atualizar Firestore na conclusão</t>
  </si>
  <si>
    <t>EAA-07.1</t>
  </si>
  <si>
    <t>EAA-07</t>
  </si>
  <si>
    <t>Regra de XP (10 + 5 bônus)</t>
  </si>
  <si>
    <t>EAA-07.2</t>
  </si>
  <si>
    <t>Header com XP + BarraProgresso</t>
  </si>
  <si>
    <t>EAA-07.3</t>
  </si>
  <si>
    <t>Animar ganho de XP no resultado</t>
  </si>
  <si>
    <t>EAA-08.1</t>
  </si>
  <si>
    <t>EAA-08</t>
  </si>
  <si>
    <t>Definir as 6 conquistas</t>
  </si>
  <si>
    <t>EAA-08.2</t>
  </si>
  <si>
    <t>Verificação de conquistas pós-lição</t>
  </si>
  <si>
    <t>EAA-08.3</t>
  </si>
  <si>
    <t>Tela de conquistas (grid + silhuetas)</t>
  </si>
  <si>
    <t>EAA-08.4</t>
  </si>
  <si>
    <t>Modal de comemoração no desbloqueio</t>
  </si>
  <si>
    <t>EAA-09.1</t>
  </si>
  <si>
    <t>EAA-09</t>
  </si>
  <si>
    <t>Configurar expo-notifications + permissão</t>
  </si>
  <si>
    <t>EAA-09.2</t>
  </si>
  <si>
    <t>Notificação diária (19h, 3 textos)</t>
  </si>
  <si>
    <t>EAA-09.3</t>
  </si>
  <si>
    <t>Alternância ativar/desativar no perfil</t>
  </si>
  <si>
    <t>EAA-QA.1</t>
  </si>
  <si>
    <t>EAA-QA.2</t>
  </si>
  <si>
    <t>EAA-QA.3</t>
  </si>
  <si>
    <t>Revisão de conteúdo: jogar as 27 lições</t>
  </si>
  <si>
    <t>SIN-01.1</t>
  </si>
  <si>
    <t>SIN-01</t>
  </si>
  <si>
    <t>SIN-01.2</t>
  </si>
  <si>
    <t>SIN-01.3</t>
  </si>
  <si>
    <t>SIN-01.4</t>
  </si>
  <si>
    <t>Coleção usuarios com campo tipo</t>
  </si>
  <si>
    <t>SIN-01.5</t>
  </si>
  <si>
    <t>AuthContext + navegação + persistência</t>
  </si>
  <si>
    <t>SIN-01.6</t>
  </si>
  <si>
    <t>Botão Criar Evento por tipo de perfil</t>
  </si>
  <si>
    <t>SIN-02.1</t>
  </si>
  <si>
    <t>SIN-02</t>
  </si>
  <si>
    <t>Modelar coleção eventos (schema no README)</t>
  </si>
  <si>
    <t>SIN-02.2</t>
  </si>
  <si>
    <t>Popular 6 eventos de teste</t>
  </si>
  <si>
    <t>SIN-02.3</t>
  </si>
  <si>
    <t>Componente CardEvento</t>
  </si>
  <si>
    <t>SIN-02.4</t>
  </si>
  <si>
    <t>FlatList ordenada por data (futuros)</t>
  </si>
  <si>
    <t>SIN-02.5</t>
  </si>
  <si>
    <t>Estados de carregamento e lista vazia</t>
  </si>
  <si>
    <t>SIN-03.1</t>
  </si>
  <si>
    <t>SIN-03</t>
  </si>
  <si>
    <t>UI da tela de detalhe</t>
  </si>
  <si>
    <t>SIN-03.2</t>
  </si>
  <si>
    <t>Navegação feed → detalhe com eventoId</t>
  </si>
  <si>
    <t>SIN-04.1</t>
  </si>
  <si>
    <t>SIN-04</t>
  </si>
  <si>
    <t>Decidir modelo de inscrição (documentar)</t>
  </si>
  <si>
    <t>SIN-04.2</t>
  </si>
  <si>
    <t>Funções inscrever/cancelarInscricao</t>
  </si>
  <si>
    <t>SIN-04.3</t>
  </si>
  <si>
    <t>Botão Inscrever-se com 3 estados</t>
  </si>
  <si>
    <t>SIN-05.1</t>
  </si>
  <si>
    <t>SIN-05</t>
  </si>
  <si>
    <t>Query de eventos por UID inscrito</t>
  </si>
  <si>
    <t>SIN-05.2</t>
  </si>
  <si>
    <t>Tela com seções Próximos/Passados</t>
  </si>
  <si>
    <t>SIN-06.1</t>
  </si>
  <si>
    <t>SIN-06</t>
  </si>
  <si>
    <t>Decidir lib de calendário (PoC)</t>
  </si>
  <si>
    <t>SIN-06.2</t>
  </si>
  <si>
    <t>Mini-calendário da Home com marcadores</t>
  </si>
  <si>
    <t>SIN-06.3</t>
  </si>
  <si>
    <t>Calendário completo (tela própria)</t>
  </si>
  <si>
    <t>SIN-06.4</t>
  </si>
  <si>
    <t>Eventos do dia ao tocar na data</t>
  </si>
  <si>
    <t>SIN-07.1</t>
  </si>
  <si>
    <t>SIN-07</t>
  </si>
  <si>
    <t>UI do formulário de evento</t>
  </si>
  <si>
    <t>SIN-07.2</t>
  </si>
  <si>
    <t>DateTimePicker para data/horário</t>
  </si>
  <si>
    <t>SIN-07.3</t>
  </si>
  <si>
    <t>Validações (obrigatórios + data futura)</t>
  </si>
  <si>
    <t>SIN-07.4</t>
  </si>
  <si>
    <t>Gravar evento com criadoPor</t>
  </si>
  <si>
    <t>SIN-07.5</t>
  </si>
  <si>
    <t>Restringir tela ao perfil organizador</t>
  </si>
  <si>
    <t>SIN-08.1</t>
  </si>
  <si>
    <t>SIN-08</t>
  </si>
  <si>
    <t>Chips de categoria no feed</t>
  </si>
  <si>
    <t>SIN-08.2</t>
  </si>
  <si>
    <t>Filtro sem recarregar</t>
  </si>
  <si>
    <t>SIN-09.1</t>
  </si>
  <si>
    <t>SIN-09</t>
  </si>
  <si>
    <t>expo-notifications + permissão</t>
  </si>
  <si>
    <t>SIN-09.2</t>
  </si>
  <si>
    <t>Agendar notificações na inscrição</t>
  </si>
  <si>
    <t>SIN-09.3</t>
  </si>
  <si>
    <t>Cancelar notificações ao cancelar</t>
  </si>
  <si>
    <t>SIN-10.1</t>
  </si>
  <si>
    <t>SIN-10</t>
  </si>
  <si>
    <t>Alternância de favorito (coração)</t>
  </si>
  <si>
    <t>SIN-10.2</t>
  </si>
  <si>
    <t>Lista de favoritos no menu</t>
  </si>
  <si>
    <t>SIN-11.1</t>
  </si>
  <si>
    <t>SIN-11</t>
  </si>
  <si>
    <t>Fonte maior (2 níveis) no perfil</t>
  </si>
  <si>
    <t>SIN-11.2</t>
  </si>
  <si>
    <t>Auditar contraste e áreas de toque</t>
  </si>
  <si>
    <t>SIN-QA.1</t>
  </si>
  <si>
    <t>SIN-QA.2</t>
  </si>
  <si>
    <t>ANB-01.1</t>
  </si>
  <si>
    <t>ANB-01</t>
  </si>
  <si>
    <t>Preparar ambiente local (Expo CLI + físico)</t>
  </si>
  <si>
    <t>ANB-01.2</t>
  </si>
  <si>
    <t>Firebase + credenciais OAuth Google</t>
  </si>
  <si>
    <t>ANB-01.3</t>
  </si>
  <si>
    <t>Fluxo de login Google (expo-auth-session)</t>
  </si>
  <si>
    <t>ANB-01.4</t>
  </si>
  <si>
    <t>Validar domínio do e-mail pós-login</t>
  </si>
  <si>
    <t>ANB-01.5</t>
  </si>
  <si>
    <t>Coleção usuarios (aluno/admin)</t>
  </si>
  <si>
    <t>ANB-01.6</t>
  </si>
  <si>
    <t>AuthContext + persistência de sessão</t>
  </si>
  <si>
    <t>ANB-02.1</t>
  </si>
  <si>
    <t>ANB-02</t>
  </si>
  <si>
    <t>Definir grade de slots do dia</t>
  </si>
  <si>
    <t>ANB-02.2</t>
  </si>
  <si>
    <t>Modelar coleção agendamentos</t>
  </si>
  <si>
    <t>ANB-02.3</t>
  </si>
  <si>
    <t>Componente SlotHorario (3 cores)</t>
  </si>
  <si>
    <t>ANB-02.4</t>
  </si>
  <si>
    <t>Tela principal: data + grade do dia</t>
  </si>
  <si>
    <t>ANB-02.5</t>
  </si>
  <si>
    <t>Cruzar slots com onSnapshot</t>
  </si>
  <si>
    <t>ANB-02.6</t>
  </si>
  <si>
    <t>Seletor de data</t>
  </si>
  <si>
    <t>ANB-03.1</t>
  </si>
  <si>
    <t>ANB-03</t>
  </si>
  <si>
    <t>Coleção cronogramaFixo + dados reais</t>
  </si>
  <si>
    <t>ANB-03.2</t>
  </si>
  <si>
    <t>Mesclar fixo + agendamentos na grade</t>
  </si>
  <si>
    <t>ANB-03.3</t>
  </si>
  <si>
    <t>Tela de cronograma semanal</t>
  </si>
  <si>
    <t>ANB-04.1</t>
  </si>
  <si>
    <t>ANB-04</t>
  </si>
  <si>
    <t>Alternância Mostrar só disponíveis</t>
  </si>
  <si>
    <t>ANB-04.2</t>
  </si>
  <si>
    <t>Lista de próximos slots livres</t>
  </si>
  <si>
    <t>ANB-05.1</t>
  </si>
  <si>
    <t>ANB-05</t>
  </si>
  <si>
    <t>Tela de confirmação do agendamento</t>
  </si>
  <si>
    <t>ANB-05.2</t>
  </si>
  <si>
    <t>ID determinístico (data_horaInicio)</t>
  </si>
  <si>
    <t>ANB-05.3</t>
  </si>
  <si>
    <t>Tratar conflito com mensagem amigável</t>
  </si>
  <si>
    <t>ANB-05.4</t>
  </si>
  <si>
    <t>Limite de reservas ativas por aluno</t>
  </si>
  <si>
    <t>ANB-05.5</t>
  </si>
  <si>
    <t>Teste de conflito com 2 celulares</t>
  </si>
  <si>
    <t>ANB-06.1</t>
  </si>
  <si>
    <t>ANB-06</t>
  </si>
  <si>
    <t>Tela Meus agendamentos</t>
  </si>
  <si>
    <t>ANB-06.2</t>
  </si>
  <si>
    <t>Cancelamento com confirmação</t>
  </si>
  <si>
    <t>ANB-07.1</t>
  </si>
  <si>
    <t>ANB-07</t>
  </si>
  <si>
    <t>Painel de pendentes (admin)</t>
  </si>
  <si>
    <t>ANB-07.2</t>
  </si>
  <si>
    <t>Aprovar/Recusar reservas</t>
  </si>
  <si>
    <t>ANB-07.3</t>
  </si>
  <si>
    <t>Teste integrado do ciclo completo</t>
  </si>
  <si>
    <t>ANB-08.1</t>
  </si>
  <si>
    <t>ANB-08</t>
  </si>
  <si>
    <t>ANB-08.2</t>
  </si>
  <si>
    <t>Notificação semanal (segunda)</t>
  </si>
  <si>
    <t>ANB-08.3</t>
  </si>
  <si>
    <t>Alternância ativar/desativar</t>
  </si>
  <si>
    <t>ANB-09.1</t>
  </si>
  <si>
    <t>ANB-09</t>
  </si>
  <si>
    <t>ThemeContext claro/escuro</t>
  </si>
  <si>
    <t>ANB-09.2</t>
  </si>
  <si>
    <t>Cores dos slots no tema escuro</t>
  </si>
  <si>
    <t>ANB-09.3</t>
  </si>
  <si>
    <t>ANB-QA.1</t>
  </si>
  <si>
    <t>ANB-QA.2</t>
  </si>
  <si>
    <t>ANB-QA.3</t>
  </si>
  <si>
    <t>Teste de estresse de conflito (4+ pessoas)</t>
  </si>
  <si>
    <t>MON-01.1</t>
  </si>
  <si>
    <t>MON-01</t>
  </si>
  <si>
    <t>MON-01.2</t>
  </si>
  <si>
    <t>UI Login/Cadastro com seleção de papel</t>
  </si>
  <si>
    <t>MON-01.3</t>
  </si>
  <si>
    <t>Integrar Auth + coleção usuarios</t>
  </si>
  <si>
    <t>MON-01.4</t>
  </si>
  <si>
    <t>AuthContext (usuário + papel) + persistência</t>
  </si>
  <si>
    <t>MON-01.5</t>
  </si>
  <si>
    <t>Navegação condicional por papel</t>
  </si>
  <si>
    <t>MON-02.1</t>
  </si>
  <si>
    <t>MON-02</t>
  </si>
  <si>
    <t>BottomTabNavigator com 4 abas</t>
  </si>
  <si>
    <t>MON-02.2</t>
  </si>
  <si>
    <t>Header da Home com nome e avatar</t>
  </si>
  <si>
    <t>MON-02.3</t>
  </si>
  <si>
    <t>Esqueleto das 4 telas (estado vazio)</t>
  </si>
  <si>
    <t>MON-03.1</t>
  </si>
  <si>
    <t>MON-03</t>
  </si>
  <si>
    <t>Modelar coleção monitorias</t>
  </si>
  <si>
    <t>MON-03.2</t>
  </si>
  <si>
    <t>Decidir calendário vs. lista agrupada</t>
  </si>
  <si>
    <t>MON-03.3</t>
  </si>
  <si>
    <t>Componente CardMonitoria</t>
  </si>
  <si>
    <t>MON-03.4</t>
  </si>
  <si>
    <t>Listagem agrupada por dia (Firestore)</t>
  </si>
  <si>
    <t>MON-03.5</t>
  </si>
  <si>
    <t>Marcadores nos dias com monitoria</t>
  </si>
  <si>
    <t>MON-04.1</t>
  </si>
  <si>
    <t>MON-04</t>
  </si>
  <si>
    <t>UI do formulário de monitoria</t>
  </si>
  <si>
    <t>MON-04.2</t>
  </si>
  <si>
    <t>DateTimePicker (fim &gt; início)</t>
  </si>
  <si>
    <t>MON-04.3</t>
  </si>
  <si>
    <t>Validações + gravação no Firestore</t>
  </si>
  <si>
    <t>MON-04.4</t>
  </si>
  <si>
    <t>Edição e cancelamento (só o criador)</t>
  </si>
  <si>
    <t>MON-05.1</t>
  </si>
  <si>
    <t>MON-05</t>
  </si>
  <si>
    <t>Tela de detalhe da monitoria</t>
  </si>
  <si>
    <t>MON-05.2</t>
  </si>
  <si>
    <t>Decidir modelo de participantes</t>
  </si>
  <si>
    <t>MON-05.3</t>
  </si>
  <si>
    <t>Funções confirmar/desistir</t>
  </si>
  <si>
    <t>MON-05.4</t>
  </si>
  <si>
    <t>Contador de confirmados em tempo real</t>
  </si>
  <si>
    <t>MON-06.1</t>
  </si>
  <si>
    <t>MON-06</t>
  </si>
  <si>
    <t>Lista de nomes confirmados (monitor)</t>
  </si>
  <si>
    <t>MON-06.2</t>
  </si>
  <si>
    <t>Estado 'nenhuma confirmação ainda'</t>
  </si>
  <si>
    <t>MON-06.3</t>
  </si>
  <si>
    <t>MON-07.1</t>
  </si>
  <si>
    <t>MON-07</t>
  </si>
  <si>
    <t>Visão do estudante (confirmadas)</t>
  </si>
  <si>
    <t>MON-07.2</t>
  </si>
  <si>
    <t>Visão do monitor (criadas + contador)</t>
  </si>
  <si>
    <t>MON-08.1</t>
  </si>
  <si>
    <t>MON-08</t>
  </si>
  <si>
    <t>Disciplinas dinâmicas (chips/dropdown)</t>
  </si>
  <si>
    <t>MON-08.2</t>
  </si>
  <si>
    <t>MON-09.1</t>
  </si>
  <si>
    <t>MON-09</t>
  </si>
  <si>
    <t>MON-09.2</t>
  </si>
  <si>
    <t>Notificação 1h antes ao confirmar</t>
  </si>
  <si>
    <t>MON-09.3</t>
  </si>
  <si>
    <t>Cancelar notificação ao desistir</t>
  </si>
  <si>
    <t>MON-QA.1</t>
  </si>
  <si>
    <t>MON-QA.2</t>
  </si>
  <si>
    <t>MON-QA.3</t>
  </si>
  <si>
    <t>Polimento visual das 4 abas</t>
  </si>
  <si>
    <t>FLW-01.1</t>
  </si>
  <si>
    <t>FLW-01</t>
  </si>
  <si>
    <t>FLW-01.2</t>
  </si>
  <si>
    <t>FLW-01.3</t>
  </si>
  <si>
    <t>FLW-01.4</t>
  </si>
  <si>
    <t>FLW-02.1</t>
  </si>
  <si>
    <t>FLW-02</t>
  </si>
  <si>
    <t>Coleção turmas (fixas do MVP)</t>
  </si>
  <si>
    <t>FLW-02.2</t>
  </si>
  <si>
    <t>Seleção de turma no cadastro do aluno</t>
  </si>
  <si>
    <t>FLW-02.3</t>
  </si>
  <si>
    <t>Professor com múltiplas turmas</t>
  </si>
  <si>
    <t>FLW-02.4</t>
  </si>
  <si>
    <t>Expor turmas no AuthContext</t>
  </si>
  <si>
    <t>FLW-03.1</t>
  </si>
  <si>
    <t>FLW-03</t>
  </si>
  <si>
    <t>Modelar coleção atividades</t>
  </si>
  <si>
    <t>FLW-03.2</t>
  </si>
  <si>
    <t>UI do formulário de atividade</t>
  </si>
  <si>
    <t>FLW-03.3</t>
  </si>
  <si>
    <t>DateTimePicker + validações</t>
  </si>
  <si>
    <t>FLW-03.4</t>
  </si>
  <si>
    <t>Alerta de sobrecarga (2+ na mesma data)</t>
  </si>
  <si>
    <t>FLW-03.5</t>
  </si>
  <si>
    <t>Gravar atividade e refletir na agenda</t>
  </si>
  <si>
    <t>FLW-03.6</t>
  </si>
  <si>
    <t>Edição e exclusão (só o criador)</t>
  </si>
  <si>
    <t>FLW-04.1</t>
  </si>
  <si>
    <t>FLW-04</t>
  </si>
  <si>
    <t>CardAtividade com badge por tipo</t>
  </si>
  <si>
    <t>FLW-04.2</t>
  </si>
  <si>
    <t>SectionList agrupada por dia</t>
  </si>
  <si>
    <t>FLW-04.3</t>
  </si>
  <si>
    <t>Seção/aba Histórico (passadas)</t>
  </si>
  <si>
    <t>FLW-04.4</t>
  </si>
  <si>
    <t>Tela de detalhe da atividade</t>
  </si>
  <si>
    <t>FLW-04.5</t>
  </si>
  <si>
    <t>Estados de carregamento e agenda vazia</t>
  </si>
  <si>
    <t>FLW-05.1</t>
  </si>
  <si>
    <t>FLW-05</t>
  </si>
  <si>
    <t>Componente SemanaHeatmap (seg–sex)</t>
  </si>
  <si>
    <t>FLW-05.2</t>
  </si>
  <si>
    <t>Seletor de turma para o professor</t>
  </si>
  <si>
    <t>FLW-05.3</t>
  </si>
  <si>
    <t>Heatmap com a turma inteira</t>
  </si>
  <si>
    <t>FLW-05.4</t>
  </si>
  <si>
    <t>Navegação entre semanas</t>
  </si>
  <si>
    <t>FLW-05.5</t>
  </si>
  <si>
    <t>Atividades do dia ao tocar na célula</t>
  </si>
  <si>
    <t>FLW-06.1</t>
  </si>
  <si>
    <t>FLW-06</t>
  </si>
  <si>
    <t>Heatmap no topo da agenda do aluno</t>
  </si>
  <si>
    <t>FLW-06.2</t>
  </si>
  <si>
    <t>Toque na célula rola a agenda</t>
  </si>
  <si>
    <t>FLW-07.1</t>
  </si>
  <si>
    <t>FLW-07</t>
  </si>
  <si>
    <t>Chips de disciplina dinâmicos</t>
  </si>
  <si>
    <t>FLW-07.2</t>
  </si>
  <si>
    <t>Filtro na agenda + heatmap</t>
  </si>
  <si>
    <t>FLW-08.1</t>
  </si>
  <si>
    <t>FLW-08</t>
  </si>
  <si>
    <t>C</t>
  </si>
  <si>
    <t>FLW-08.2</t>
  </si>
  <si>
    <t>Notificação 1 dia antes (sem duplicatas)</t>
  </si>
  <si>
    <t>FLW-08.3</t>
  </si>
  <si>
    <t>FLW-QA.1</t>
  </si>
  <si>
    <t>FLW-QA.2</t>
  </si>
  <si>
    <t>FLW-QA.3</t>
  </si>
  <si>
    <t>Cenário de demo para o Shark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</si>
</sst>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E2761"/>
      <name val="Arial"/>
      <charset val="1"/>
    </font>
    <font>
      <sz val="10"/>
      <color rgb="FF64748B"/>
      <name val="Arial"/>
      <charset val="1"/>
    </font>
    <font>
      <b/>
      <sz val="10"/>
      <color rgb="FFFFFFFF"/>
      <name val="Arial"/>
      <charset val="1"/>
    </font>
    <font>
      <b/>
      <sz val="10"/>
      <color rgb="FF7C3AED"/>
      <name val="Arial"/>
      <charset val="1"/>
    </font>
    <font>
      <sz val="10"/>
      <color rgb="FF1E293B"/>
      <name val="Arial"/>
      <charset val="1"/>
    </font>
    <font>
      <b/>
      <sz val="10"/>
      <color rgb="FFF97316"/>
      <name val="Arial"/>
      <charset val="1"/>
    </font>
    <font>
      <b/>
      <sz val="10"/>
      <color rgb="FF0E7490"/>
      <name val="Arial"/>
      <charset val="1"/>
    </font>
    <font>
      <b/>
      <sz val="10"/>
      <color rgb="FF0891B2"/>
      <name val="Arial"/>
      <charset val="1"/>
    </font>
    <font>
      <b/>
      <sz val="10"/>
      <color rgb="FF059669"/>
      <name val="Arial"/>
      <charset val="1"/>
    </font>
    <font>
      <b/>
      <sz val="10"/>
      <color rgb="FF1E2761"/>
      <name val="Arial"/>
      <charset val="1"/>
    </font>
    <font>
      <sz val="9"/>
      <color rgb="FF475569"/>
      <name val="Arial"/>
      <charset val="1"/>
    </font>
    <font>
      <b/>
      <sz val="10"/>
      <color rgb="FFDC2626"/>
      <name val="Arial"/>
      <charset val="1"/>
    </font>
    <font>
      <b/>
      <sz val="10"/>
      <color rgb="FFCA8A04"/>
      <name val="Arial"/>
      <charset val="1"/>
    </font>
    <font>
      <b/>
      <sz val="10"/>
      <color rgb="FF1E293B"/>
      <name val="Arial"/>
      <charset val="1"/>
    </font>
    <font>
      <b/>
      <sz val="10"/>
      <color rgb="FF64748B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761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  <fill>
      <patternFill patternType="solid">
        <fgColor rgb="FF7C3AED"/>
        <bgColor rgb="FF993366"/>
      </patternFill>
    </fill>
    <fill>
      <patternFill patternType="solid">
        <fgColor rgb="FFFEE2E2"/>
        <bgColor rgb="FFE2E8F0"/>
      </patternFill>
    </fill>
    <fill>
      <patternFill patternType="solid">
        <fgColor rgb="FFFEF9C3"/>
        <bgColor rgb="FFFFFF99"/>
      </patternFill>
    </fill>
    <fill>
      <patternFill patternType="solid">
        <fgColor rgb="FFF97316"/>
        <bgColor rgb="FFCA8A04"/>
      </patternFill>
    </fill>
    <fill>
      <patternFill patternType="solid">
        <fgColor rgb="FF0E7490"/>
        <bgColor rgb="FF0891B2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891B2"/>
      </patternFill>
    </fill>
    <fill>
      <patternFill patternType="solid">
        <fgColor rgb="FFE2E8F0"/>
        <bgColor rgb="FFF1F5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CCCCC"/>
      <rgbColor rgb="FF808080"/>
      <rgbColor rgb="FF9999FF"/>
      <rgbColor rgb="FF7C3AED"/>
      <rgbColor rgb="FFFEF9C3"/>
      <rgbColor rgb="FFF1F5F9"/>
      <rgbColor rgb="FF660066"/>
      <rgbColor rgb="FFFF8080"/>
      <rgbColor rgb="FF0891B2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A8A04"/>
      <rgbColor rgb="FFF97316"/>
      <rgbColor rgb="FF64748B"/>
      <rgbColor rgb="FF969696"/>
      <rgbColor rgb="FF1E2761"/>
      <rgbColor rgb="FF339966"/>
      <rgbColor rgb="FF003300"/>
      <rgbColor rgb="FF333300"/>
      <rgbColor rgb="FF993300"/>
      <rgbColor rgb="FF993366"/>
      <rgbColor rgb="FF47556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3" customWidth="1"/>
    <col min="2" max="2" width="26" customWidth="1"/>
    <col min="3" max="3" width="38" customWidth="1"/>
    <col min="4" max="4" width="13" customWidth="1"/>
    <col min="5" max="5" width="9" customWidth="1"/>
    <col min="6" max="6" width="10" customWidth="1"/>
    <col min="7" max="7" width="11" customWidth="1"/>
    <col min="8" max="8" width="16" customWidth="1"/>
    <col min="9" max="9" width="12" customWidth="1"/>
    <col min="10" max="10" width="14" customWidth="1"/>
    <col min="11" max="11" width="15" customWidth="1"/>
  </cols>
  <sheetData>
    <row r="2" spans="2:11" ht="21" x14ac:dyDescent="0.4">
      <c r="B2" s="1" t="s">
        <v>0</v>
      </c>
    </row>
    <row r="3" spans="2:11" x14ac:dyDescent="0.3">
      <c r="B3" s="2" t="s">
        <v>1</v>
      </c>
    </row>
    <row r="5" spans="2:11" ht="27.7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2:11" x14ac:dyDescent="0.3">
      <c r="B6" s="4" t="s">
        <v>12</v>
      </c>
      <c r="C6" s="5" t="s">
        <v>13</v>
      </c>
      <c r="D6" s="6">
        <f>COUNTA(RadarNeuro!A2:A45)</f>
        <v>44</v>
      </c>
      <c r="E6" s="6">
        <f>COUNTIF(RadarNeuro!G2:G45,"Feito")</f>
        <v>0</v>
      </c>
      <c r="F6" s="6">
        <f>COUNTIF(RadarNeuro!G2:G45,"Fazendo")</f>
        <v>0</v>
      </c>
      <c r="G6" s="6">
        <f>COUNTIF(RadarNeuro!G2:G45,"Em Review")</f>
        <v>0</v>
      </c>
      <c r="H6" s="6">
        <f>COUNTIF(RadarNeuro!G2:G45,"A Fazer")+COUNTIF(RadarNeuro!G2:G45,"Backlog")</f>
        <v>44</v>
      </c>
      <c r="I6" s="7">
        <f t="shared" ref="I6:I12" si="0">IF(D6=0,0,E6/D6)</f>
        <v>0</v>
      </c>
      <c r="J6" s="6">
        <f>SUM(RadarNeuro!F2:F45)</f>
        <v>40.5</v>
      </c>
      <c r="K6" s="6">
        <f>SUMIF(RadarNeuro!G2:G45,"Feito",RadarNeuro!F2:F45)</f>
        <v>0</v>
      </c>
    </row>
    <row r="7" spans="2:11" x14ac:dyDescent="0.3">
      <c r="B7" s="8" t="s">
        <v>14</v>
      </c>
      <c r="C7" s="9" t="s">
        <v>15</v>
      </c>
      <c r="D7" s="10">
        <f>COUNTA(EAgoraAdulto!A2:A40)</f>
        <v>39</v>
      </c>
      <c r="E7" s="10">
        <f>COUNTIF(EAgoraAdulto!G2:G40,"Feito")</f>
        <v>0</v>
      </c>
      <c r="F7" s="10">
        <f>COUNTIF(EAgoraAdulto!G2:G40,"Fazendo")</f>
        <v>0</v>
      </c>
      <c r="G7" s="10">
        <f>COUNTIF(EAgoraAdulto!G2:G40,"Em Review")</f>
        <v>0</v>
      </c>
      <c r="H7" s="10">
        <f>COUNTIF(EAgoraAdulto!G2:G40,"A Fazer")+COUNTIF(EAgoraAdulto!G2:G40,"Backlog")</f>
        <v>39</v>
      </c>
      <c r="I7" s="11">
        <f t="shared" si="0"/>
        <v>0</v>
      </c>
      <c r="J7" s="10">
        <f>SUM(EAgoraAdulto!F2:F40)</f>
        <v>39</v>
      </c>
      <c r="K7" s="10">
        <f>SUMIF(EAgoraAdulto!G2:G40,"Feito",EAgoraAdulto!F2:F40)</f>
        <v>0</v>
      </c>
    </row>
    <row r="8" spans="2:11" ht="26.4" x14ac:dyDescent="0.3">
      <c r="B8" s="12" t="s">
        <v>16</v>
      </c>
      <c r="C8" s="5" t="s">
        <v>17</v>
      </c>
      <c r="D8" s="6">
        <f>COUNTA(Sincronize!A2:A39)</f>
        <v>38</v>
      </c>
      <c r="E8" s="6">
        <f>COUNTIF(Sincronize!G2:G39,"Feito")</f>
        <v>0</v>
      </c>
      <c r="F8" s="6">
        <f>COUNTIF(Sincronize!G2:G39,"Fazendo")</f>
        <v>0</v>
      </c>
      <c r="G8" s="6">
        <f>COUNTIF(Sincronize!G2:G39,"Em Review")</f>
        <v>0</v>
      </c>
      <c r="H8" s="6">
        <f>COUNTIF(Sincronize!G2:G39,"A Fazer")+COUNTIF(Sincronize!G2:G39,"Backlog")</f>
        <v>38</v>
      </c>
      <c r="I8" s="7">
        <f t="shared" si="0"/>
        <v>0</v>
      </c>
      <c r="J8" s="6">
        <f>SUM(Sincronize!F2:F39)</f>
        <v>34.5</v>
      </c>
      <c r="K8" s="6">
        <f>SUMIF(Sincronize!G2:G39,"Feito",Sincronize!F2:F39)</f>
        <v>0</v>
      </c>
    </row>
    <row r="9" spans="2:11" x14ac:dyDescent="0.3">
      <c r="B9" s="13" t="s">
        <v>18</v>
      </c>
      <c r="C9" s="9" t="s">
        <v>19</v>
      </c>
      <c r="D9" s="10">
        <f>COUNTA(Anbylize!A2:A37)</f>
        <v>36</v>
      </c>
      <c r="E9" s="10">
        <f>COUNTIF(Anbylize!G2:G37,"Feito")</f>
        <v>0</v>
      </c>
      <c r="F9" s="10">
        <f>COUNTIF(Anbylize!G2:G37,"Fazendo")</f>
        <v>0</v>
      </c>
      <c r="G9" s="10">
        <f>COUNTIF(Anbylize!G2:G37,"Em Review")</f>
        <v>0</v>
      </c>
      <c r="H9" s="10">
        <f>COUNTIF(Anbylize!G2:G37,"A Fazer")+COUNTIF(Anbylize!G2:G37,"Backlog")</f>
        <v>36</v>
      </c>
      <c r="I9" s="11">
        <f t="shared" si="0"/>
        <v>0</v>
      </c>
      <c r="J9" s="10">
        <f>SUM(Anbylize!F2:F37)</f>
        <v>32.5</v>
      </c>
      <c r="K9" s="10">
        <f>SUMIF(Anbylize!G2:G37,"Feito",Anbylize!F2:F37)</f>
        <v>0</v>
      </c>
    </row>
    <row r="10" spans="2:11" x14ac:dyDescent="0.3">
      <c r="B10" s="14" t="s">
        <v>20</v>
      </c>
      <c r="C10" s="5" t="s">
        <v>21</v>
      </c>
      <c r="D10" s="6">
        <f>COUNTA(Monitorizador!A2:A35)</f>
        <v>34</v>
      </c>
      <c r="E10" s="6">
        <f>COUNTIF(Monitorizador!G2:G35,"Feito")</f>
        <v>0</v>
      </c>
      <c r="F10" s="6">
        <f>COUNTIF(Monitorizador!G2:G35,"Fazendo")</f>
        <v>0</v>
      </c>
      <c r="G10" s="6">
        <f>COUNTIF(Monitorizador!G2:G35,"Em Review")</f>
        <v>0</v>
      </c>
      <c r="H10" s="6">
        <f>COUNTIF(Monitorizador!G2:G35,"A Fazer")+COUNTIF(Monitorizador!G2:G35,"Backlog")</f>
        <v>34</v>
      </c>
      <c r="I10" s="7">
        <f t="shared" si="0"/>
        <v>0</v>
      </c>
      <c r="J10" s="6">
        <f>SUM(Monitorizador!F2:F35)</f>
        <v>31</v>
      </c>
      <c r="K10" s="6">
        <f>SUMIF(Monitorizador!G2:G35,"Feito",Monitorizador!F2:F35)</f>
        <v>0</v>
      </c>
    </row>
    <row r="11" spans="2:11" x14ac:dyDescent="0.3">
      <c r="B11" s="15" t="s">
        <v>22</v>
      </c>
      <c r="C11" s="9" t="s">
        <v>23</v>
      </c>
      <c r="D11" s="10">
        <f>COUNTA(FlowUp!A2:A35)</f>
        <v>34</v>
      </c>
      <c r="E11" s="10">
        <f>COUNTIF(FlowUp!G2:G35,"Feito")</f>
        <v>0</v>
      </c>
      <c r="F11" s="10">
        <f>COUNTIF(FlowUp!G2:G35,"Fazendo")</f>
        <v>0</v>
      </c>
      <c r="G11" s="10">
        <f>COUNTIF(FlowUp!G2:G35,"Em Review")</f>
        <v>0</v>
      </c>
      <c r="H11" s="10">
        <f>COUNTIF(FlowUp!G2:G35,"A Fazer")+COUNTIF(FlowUp!G2:G35,"Backlog")</f>
        <v>34</v>
      </c>
      <c r="I11" s="11">
        <f t="shared" si="0"/>
        <v>0</v>
      </c>
      <c r="J11" s="10">
        <f>SUM(FlowUp!F2:F35)</f>
        <v>33.5</v>
      </c>
      <c r="K11" s="10">
        <f>SUMIF(FlowUp!G2:G35,"Feito",FlowUp!F2:F35)</f>
        <v>0</v>
      </c>
    </row>
    <row r="12" spans="2:11" x14ac:dyDescent="0.3">
      <c r="B12" s="16" t="s">
        <v>24</v>
      </c>
      <c r="C12" s="17"/>
      <c r="D12" s="3">
        <f>SUM(D6:D11)</f>
        <v>225</v>
      </c>
      <c r="E12" s="3">
        <f>SUM(E6:E11)</f>
        <v>0</v>
      </c>
      <c r="F12" s="3">
        <f>SUM(F6:F11)</f>
        <v>0</v>
      </c>
      <c r="G12" s="3">
        <f>SUM(G6:G11)</f>
        <v>0</v>
      </c>
      <c r="H12" s="3">
        <f>SUM(H6:H11)</f>
        <v>225</v>
      </c>
      <c r="I12" s="18">
        <f t="shared" si="0"/>
        <v>0</v>
      </c>
      <c r="J12" s="3">
        <f>SUM(J6:J11)</f>
        <v>211</v>
      </c>
      <c r="K12" s="3">
        <f>SUM(K6:K11)</f>
        <v>0</v>
      </c>
    </row>
    <row r="14" spans="2:11" x14ac:dyDescent="0.3">
      <c r="B14" s="19" t="s">
        <v>25</v>
      </c>
    </row>
    <row r="15" spans="2:11" x14ac:dyDescent="0.3">
      <c r="B15" s="20" t="s">
        <v>26</v>
      </c>
    </row>
    <row r="16" spans="2:11" x14ac:dyDescent="0.3">
      <c r="B16" s="20" t="s">
        <v>27</v>
      </c>
    </row>
    <row r="17" spans="2:2" x14ac:dyDescent="0.3">
      <c r="B17" s="20" t="s">
        <v>28</v>
      </c>
    </row>
    <row r="18" spans="2:2" x14ac:dyDescent="0.3">
      <c r="B18" s="20" t="s">
        <v>29</v>
      </c>
    </row>
    <row r="19" spans="2:2" x14ac:dyDescent="0.3">
      <c r="B19" s="20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8.6640625" defaultRowHeight="14.4" x14ac:dyDescent="0.3"/>
  <cols>
    <col min="1" max="1" width="11" customWidth="1"/>
    <col min="2" max="2" width="9" customWidth="1"/>
    <col min="3" max="3" width="48" customWidth="1"/>
    <col min="4" max="4" width="10" customWidth="1"/>
    <col min="5" max="5" width="7" customWidth="1"/>
    <col min="6" max="6" width="10" customWidth="1"/>
    <col min="7" max="7" width="12" customWidth="1"/>
    <col min="8" max="8" width="16" customWidth="1"/>
    <col min="9" max="9" width="28" customWidth="1"/>
  </cols>
  <sheetData>
    <row r="1" spans="1:9" ht="26.4" x14ac:dyDescent="0.3">
      <c r="A1" s="21" t="s">
        <v>31</v>
      </c>
      <c r="B1" s="21" t="s">
        <v>32</v>
      </c>
      <c r="C1" s="21" t="s">
        <v>33</v>
      </c>
      <c r="D1" s="21" t="s">
        <v>34</v>
      </c>
      <c r="E1" s="21" t="s">
        <v>35</v>
      </c>
      <c r="F1" s="21" t="s">
        <v>36</v>
      </c>
      <c r="G1" s="21" t="s">
        <v>37</v>
      </c>
      <c r="H1" s="21" t="s">
        <v>38</v>
      </c>
      <c r="I1" s="21" t="s">
        <v>39</v>
      </c>
    </row>
    <row r="2" spans="1:9" x14ac:dyDescent="0.3">
      <c r="A2" s="22" t="s">
        <v>40</v>
      </c>
      <c r="B2" s="23" t="s">
        <v>41</v>
      </c>
      <c r="C2" s="5" t="s">
        <v>42</v>
      </c>
      <c r="D2" s="24" t="s">
        <v>43</v>
      </c>
      <c r="E2" s="6">
        <v>1</v>
      </c>
      <c r="F2" s="6">
        <v>0.5</v>
      </c>
      <c r="G2" s="6" t="s">
        <v>44</v>
      </c>
      <c r="H2" s="5"/>
      <c r="I2" s="5"/>
    </row>
    <row r="3" spans="1:9" x14ac:dyDescent="0.3">
      <c r="A3" s="15" t="s">
        <v>45</v>
      </c>
      <c r="B3" s="25" t="s">
        <v>41</v>
      </c>
      <c r="C3" s="9" t="s">
        <v>46</v>
      </c>
      <c r="D3" s="24" t="s">
        <v>43</v>
      </c>
      <c r="E3" s="10">
        <v>1</v>
      </c>
      <c r="F3" s="10">
        <v>0.5</v>
      </c>
      <c r="G3" s="10" t="s">
        <v>44</v>
      </c>
      <c r="H3" s="9"/>
      <c r="I3" s="9"/>
    </row>
    <row r="4" spans="1:9" x14ac:dyDescent="0.3">
      <c r="A4" s="22" t="s">
        <v>47</v>
      </c>
      <c r="B4" s="23" t="s">
        <v>41</v>
      </c>
      <c r="C4" s="5" t="s">
        <v>48</v>
      </c>
      <c r="D4" s="24" t="s">
        <v>43</v>
      </c>
      <c r="E4" s="6">
        <v>1</v>
      </c>
      <c r="F4" s="6">
        <v>1</v>
      </c>
      <c r="G4" s="6" t="s">
        <v>44</v>
      </c>
      <c r="H4" s="5"/>
      <c r="I4" s="5"/>
    </row>
    <row r="5" spans="1:9" x14ac:dyDescent="0.3">
      <c r="A5" s="15" t="s">
        <v>49</v>
      </c>
      <c r="B5" s="25" t="s">
        <v>41</v>
      </c>
      <c r="C5" s="9" t="s">
        <v>50</v>
      </c>
      <c r="D5" s="24" t="s">
        <v>43</v>
      </c>
      <c r="E5" s="10">
        <v>1</v>
      </c>
      <c r="F5" s="10">
        <v>1</v>
      </c>
      <c r="G5" s="10" t="s">
        <v>44</v>
      </c>
      <c r="H5" s="9"/>
      <c r="I5" s="9"/>
    </row>
    <row r="6" spans="1:9" x14ac:dyDescent="0.3">
      <c r="A6" s="22" t="s">
        <v>51</v>
      </c>
      <c r="B6" s="23" t="s">
        <v>41</v>
      </c>
      <c r="C6" s="5" t="s">
        <v>52</v>
      </c>
      <c r="D6" s="24" t="s">
        <v>43</v>
      </c>
      <c r="E6" s="6">
        <v>1</v>
      </c>
      <c r="F6" s="6">
        <v>1</v>
      </c>
      <c r="G6" s="6" t="s">
        <v>44</v>
      </c>
      <c r="H6" s="5"/>
      <c r="I6" s="5"/>
    </row>
    <row r="7" spans="1:9" x14ac:dyDescent="0.3">
      <c r="A7" s="15" t="s">
        <v>53</v>
      </c>
      <c r="B7" s="25" t="s">
        <v>41</v>
      </c>
      <c r="C7" s="9" t="s">
        <v>54</v>
      </c>
      <c r="D7" s="24" t="s">
        <v>43</v>
      </c>
      <c r="E7" s="10">
        <v>1</v>
      </c>
      <c r="F7" s="10">
        <v>1</v>
      </c>
      <c r="G7" s="10" t="s">
        <v>44</v>
      </c>
      <c r="H7" s="9"/>
      <c r="I7" s="9"/>
    </row>
    <row r="8" spans="1:9" x14ac:dyDescent="0.3">
      <c r="A8" s="22" t="s">
        <v>55</v>
      </c>
      <c r="B8" s="23" t="s">
        <v>41</v>
      </c>
      <c r="C8" s="5" t="s">
        <v>56</v>
      </c>
      <c r="D8" s="24" t="s">
        <v>43</v>
      </c>
      <c r="E8" s="6">
        <v>1</v>
      </c>
      <c r="F8" s="6">
        <v>0.5</v>
      </c>
      <c r="G8" s="6" t="s">
        <v>44</v>
      </c>
      <c r="H8" s="5"/>
      <c r="I8" s="5"/>
    </row>
    <row r="9" spans="1:9" x14ac:dyDescent="0.3">
      <c r="A9" s="15" t="s">
        <v>57</v>
      </c>
      <c r="B9" s="25" t="s">
        <v>58</v>
      </c>
      <c r="C9" s="9" t="s">
        <v>59</v>
      </c>
      <c r="D9" s="24" t="s">
        <v>43</v>
      </c>
      <c r="E9" s="10">
        <v>1</v>
      </c>
      <c r="F9" s="10">
        <v>1</v>
      </c>
      <c r="G9" s="10" t="s">
        <v>44</v>
      </c>
      <c r="H9" s="9"/>
      <c r="I9" s="9"/>
    </row>
    <row r="10" spans="1:9" x14ac:dyDescent="0.3">
      <c r="A10" s="22" t="s">
        <v>60</v>
      </c>
      <c r="B10" s="23" t="s">
        <v>58</v>
      </c>
      <c r="C10" s="5" t="s">
        <v>61</v>
      </c>
      <c r="D10" s="24" t="s">
        <v>43</v>
      </c>
      <c r="E10" s="6">
        <v>1</v>
      </c>
      <c r="F10" s="6">
        <v>1</v>
      </c>
      <c r="G10" s="6" t="s">
        <v>44</v>
      </c>
      <c r="H10" s="5"/>
      <c r="I10" s="5"/>
    </row>
    <row r="11" spans="1:9" x14ac:dyDescent="0.3">
      <c r="A11" s="15" t="s">
        <v>62</v>
      </c>
      <c r="B11" s="25" t="s">
        <v>58</v>
      </c>
      <c r="C11" s="9" t="s">
        <v>63</v>
      </c>
      <c r="D11" s="24" t="s">
        <v>43</v>
      </c>
      <c r="E11" s="10">
        <v>1</v>
      </c>
      <c r="F11" s="10">
        <v>1</v>
      </c>
      <c r="G11" s="10" t="s">
        <v>44</v>
      </c>
      <c r="H11" s="9"/>
      <c r="I11" s="9"/>
    </row>
    <row r="12" spans="1:9" x14ac:dyDescent="0.3">
      <c r="A12" s="22" t="s">
        <v>64</v>
      </c>
      <c r="B12" s="23" t="s">
        <v>58</v>
      </c>
      <c r="C12" s="5" t="s">
        <v>65</v>
      </c>
      <c r="D12" s="24" t="s">
        <v>43</v>
      </c>
      <c r="E12" s="6">
        <v>1</v>
      </c>
      <c r="F12" s="6">
        <v>0.5</v>
      </c>
      <c r="G12" s="6" t="s">
        <v>44</v>
      </c>
      <c r="H12" s="5"/>
      <c r="I12" s="5"/>
    </row>
    <row r="13" spans="1:9" x14ac:dyDescent="0.3">
      <c r="A13" s="15" t="s">
        <v>66</v>
      </c>
      <c r="B13" s="25" t="s">
        <v>67</v>
      </c>
      <c r="C13" s="9" t="s">
        <v>68</v>
      </c>
      <c r="D13" s="24" t="s">
        <v>43</v>
      </c>
      <c r="E13" s="10">
        <v>1</v>
      </c>
      <c r="F13" s="10">
        <v>1</v>
      </c>
      <c r="G13" s="10" t="s">
        <v>44</v>
      </c>
      <c r="H13" s="9"/>
      <c r="I13" s="9"/>
    </row>
    <row r="14" spans="1:9" x14ac:dyDescent="0.3">
      <c r="A14" s="22" t="s">
        <v>69</v>
      </c>
      <c r="B14" s="23" t="s">
        <v>67</v>
      </c>
      <c r="C14" s="5" t="s">
        <v>70</v>
      </c>
      <c r="D14" s="24" t="s">
        <v>43</v>
      </c>
      <c r="E14" s="6">
        <v>1</v>
      </c>
      <c r="F14" s="6">
        <v>1</v>
      </c>
      <c r="G14" s="6" t="s">
        <v>44</v>
      </c>
      <c r="H14" s="5"/>
      <c r="I14" s="5"/>
    </row>
    <row r="15" spans="1:9" x14ac:dyDescent="0.3">
      <c r="A15" s="15" t="s">
        <v>71</v>
      </c>
      <c r="B15" s="25" t="s">
        <v>67</v>
      </c>
      <c r="C15" s="9" t="s">
        <v>72</v>
      </c>
      <c r="D15" s="24" t="s">
        <v>43</v>
      </c>
      <c r="E15" s="10">
        <v>1</v>
      </c>
      <c r="F15" s="10">
        <v>0.5</v>
      </c>
      <c r="G15" s="10" t="s">
        <v>44</v>
      </c>
      <c r="H15" s="9"/>
      <c r="I15" s="9"/>
    </row>
    <row r="16" spans="1:9" x14ac:dyDescent="0.3">
      <c r="A16" s="22" t="s">
        <v>73</v>
      </c>
      <c r="B16" s="23" t="s">
        <v>67</v>
      </c>
      <c r="C16" s="5" t="s">
        <v>74</v>
      </c>
      <c r="D16" s="24" t="s">
        <v>43</v>
      </c>
      <c r="E16" s="6">
        <v>1</v>
      </c>
      <c r="F16" s="6">
        <v>1</v>
      </c>
      <c r="G16" s="6" t="s">
        <v>44</v>
      </c>
      <c r="H16" s="5"/>
      <c r="I16" s="5"/>
    </row>
    <row r="17" spans="1:9" x14ac:dyDescent="0.3">
      <c r="A17" s="15" t="s">
        <v>75</v>
      </c>
      <c r="B17" s="25" t="s">
        <v>76</v>
      </c>
      <c r="C17" s="9" t="s">
        <v>77</v>
      </c>
      <c r="D17" s="24" t="s">
        <v>43</v>
      </c>
      <c r="E17" s="10">
        <v>2</v>
      </c>
      <c r="F17" s="10">
        <v>1</v>
      </c>
      <c r="G17" s="10" t="s">
        <v>78</v>
      </c>
      <c r="H17" s="9"/>
      <c r="I17" s="9"/>
    </row>
    <row r="18" spans="1:9" x14ac:dyDescent="0.3">
      <c r="A18" s="22" t="s">
        <v>79</v>
      </c>
      <c r="B18" s="23" t="s">
        <v>76</v>
      </c>
      <c r="C18" s="5" t="s">
        <v>80</v>
      </c>
      <c r="D18" s="24" t="s">
        <v>43</v>
      </c>
      <c r="E18" s="6">
        <v>2</v>
      </c>
      <c r="F18" s="6">
        <v>1</v>
      </c>
      <c r="G18" s="6" t="s">
        <v>78</v>
      </c>
      <c r="H18" s="5"/>
      <c r="I18" s="5"/>
    </row>
    <row r="19" spans="1:9" x14ac:dyDescent="0.3">
      <c r="A19" s="15" t="s">
        <v>81</v>
      </c>
      <c r="B19" s="25" t="s">
        <v>76</v>
      </c>
      <c r="C19" s="9" t="s">
        <v>82</v>
      </c>
      <c r="D19" s="24" t="s">
        <v>43</v>
      </c>
      <c r="E19" s="10">
        <v>2</v>
      </c>
      <c r="F19" s="10">
        <v>1</v>
      </c>
      <c r="G19" s="10" t="s">
        <v>78</v>
      </c>
      <c r="H19" s="9"/>
      <c r="I19" s="9"/>
    </row>
    <row r="20" spans="1:9" x14ac:dyDescent="0.3">
      <c r="A20" s="22" t="s">
        <v>83</v>
      </c>
      <c r="B20" s="23" t="s">
        <v>76</v>
      </c>
      <c r="C20" s="5" t="s">
        <v>84</v>
      </c>
      <c r="D20" s="24" t="s">
        <v>43</v>
      </c>
      <c r="E20" s="6">
        <v>2</v>
      </c>
      <c r="F20" s="6">
        <v>0.5</v>
      </c>
      <c r="G20" s="6" t="s">
        <v>78</v>
      </c>
      <c r="H20" s="5"/>
      <c r="I20" s="5"/>
    </row>
    <row r="21" spans="1:9" x14ac:dyDescent="0.3">
      <c r="A21" s="15" t="s">
        <v>85</v>
      </c>
      <c r="B21" s="25" t="s">
        <v>76</v>
      </c>
      <c r="C21" s="9" t="s">
        <v>86</v>
      </c>
      <c r="D21" s="24" t="s">
        <v>43</v>
      </c>
      <c r="E21" s="10">
        <v>2</v>
      </c>
      <c r="F21" s="10">
        <v>0.5</v>
      </c>
      <c r="G21" s="10" t="s">
        <v>78</v>
      </c>
      <c r="H21" s="9"/>
      <c r="I21" s="9"/>
    </row>
    <row r="22" spans="1:9" x14ac:dyDescent="0.3">
      <c r="A22" s="22" t="s">
        <v>87</v>
      </c>
      <c r="B22" s="23" t="s">
        <v>88</v>
      </c>
      <c r="C22" s="5" t="s">
        <v>89</v>
      </c>
      <c r="D22" s="24" t="s">
        <v>43</v>
      </c>
      <c r="E22" s="6">
        <v>2</v>
      </c>
      <c r="F22" s="6">
        <v>1</v>
      </c>
      <c r="G22" s="6" t="s">
        <v>78</v>
      </c>
      <c r="H22" s="5"/>
      <c r="I22" s="5"/>
    </row>
    <row r="23" spans="1:9" x14ac:dyDescent="0.3">
      <c r="A23" s="15" t="s">
        <v>90</v>
      </c>
      <c r="B23" s="25" t="s">
        <v>88</v>
      </c>
      <c r="C23" s="9" t="s">
        <v>91</v>
      </c>
      <c r="D23" s="24" t="s">
        <v>43</v>
      </c>
      <c r="E23" s="10">
        <v>2</v>
      </c>
      <c r="F23" s="10">
        <v>1</v>
      </c>
      <c r="G23" s="10" t="s">
        <v>78</v>
      </c>
      <c r="H23" s="9"/>
      <c r="I23" s="9"/>
    </row>
    <row r="24" spans="1:9" x14ac:dyDescent="0.3">
      <c r="A24" s="22" t="s">
        <v>92</v>
      </c>
      <c r="B24" s="23" t="s">
        <v>88</v>
      </c>
      <c r="C24" s="5" t="s">
        <v>93</v>
      </c>
      <c r="D24" s="24" t="s">
        <v>43</v>
      </c>
      <c r="E24" s="6">
        <v>2</v>
      </c>
      <c r="F24" s="6">
        <v>0.5</v>
      </c>
      <c r="G24" s="6" t="s">
        <v>78</v>
      </c>
      <c r="H24" s="5"/>
      <c r="I24" s="5"/>
    </row>
    <row r="25" spans="1:9" x14ac:dyDescent="0.3">
      <c r="A25" s="15" t="s">
        <v>94</v>
      </c>
      <c r="B25" s="25" t="s">
        <v>88</v>
      </c>
      <c r="C25" s="9" t="s">
        <v>95</v>
      </c>
      <c r="D25" s="24" t="s">
        <v>43</v>
      </c>
      <c r="E25" s="10">
        <v>2</v>
      </c>
      <c r="F25" s="10">
        <v>1</v>
      </c>
      <c r="G25" s="10" t="s">
        <v>78</v>
      </c>
      <c r="H25" s="9"/>
      <c r="I25" s="9"/>
    </row>
    <row r="26" spans="1:9" x14ac:dyDescent="0.3">
      <c r="A26" s="22" t="s">
        <v>96</v>
      </c>
      <c r="B26" s="23" t="s">
        <v>88</v>
      </c>
      <c r="C26" s="5" t="s">
        <v>97</v>
      </c>
      <c r="D26" s="24" t="s">
        <v>43</v>
      </c>
      <c r="E26" s="6">
        <v>2</v>
      </c>
      <c r="F26" s="6">
        <v>0.5</v>
      </c>
      <c r="G26" s="6" t="s">
        <v>78</v>
      </c>
      <c r="H26" s="5"/>
      <c r="I26" s="5"/>
    </row>
    <row r="27" spans="1:9" x14ac:dyDescent="0.3">
      <c r="A27" s="15" t="s">
        <v>98</v>
      </c>
      <c r="B27" s="25" t="s">
        <v>99</v>
      </c>
      <c r="C27" s="9" t="s">
        <v>100</v>
      </c>
      <c r="D27" s="24" t="s">
        <v>43</v>
      </c>
      <c r="E27" s="10">
        <v>2</v>
      </c>
      <c r="F27" s="10">
        <v>1</v>
      </c>
      <c r="G27" s="10" t="s">
        <v>78</v>
      </c>
      <c r="H27" s="9"/>
      <c r="I27" s="9"/>
    </row>
    <row r="28" spans="1:9" x14ac:dyDescent="0.3">
      <c r="A28" s="22" t="s">
        <v>101</v>
      </c>
      <c r="B28" s="23" t="s">
        <v>99</v>
      </c>
      <c r="C28" s="5" t="s">
        <v>102</v>
      </c>
      <c r="D28" s="24" t="s">
        <v>43</v>
      </c>
      <c r="E28" s="6">
        <v>2</v>
      </c>
      <c r="F28" s="6">
        <v>1</v>
      </c>
      <c r="G28" s="6" t="s">
        <v>78</v>
      </c>
      <c r="H28" s="5"/>
      <c r="I28" s="5"/>
    </row>
    <row r="29" spans="1:9" x14ac:dyDescent="0.3">
      <c r="A29" s="15" t="s">
        <v>103</v>
      </c>
      <c r="B29" s="25" t="s">
        <v>99</v>
      </c>
      <c r="C29" s="9" t="s">
        <v>104</v>
      </c>
      <c r="D29" s="24" t="s">
        <v>43</v>
      </c>
      <c r="E29" s="10">
        <v>2</v>
      </c>
      <c r="F29" s="10">
        <v>1.5</v>
      </c>
      <c r="G29" s="10" t="s">
        <v>78</v>
      </c>
      <c r="H29" s="9"/>
      <c r="I29" s="9"/>
    </row>
    <row r="30" spans="1:9" x14ac:dyDescent="0.3">
      <c r="A30" s="22" t="s">
        <v>105</v>
      </c>
      <c r="B30" s="23" t="s">
        <v>99</v>
      </c>
      <c r="C30" s="5" t="s">
        <v>106</v>
      </c>
      <c r="D30" s="24" t="s">
        <v>43</v>
      </c>
      <c r="E30" s="6">
        <v>2</v>
      </c>
      <c r="F30" s="6">
        <v>1</v>
      </c>
      <c r="G30" s="6" t="s">
        <v>78</v>
      </c>
      <c r="H30" s="5"/>
      <c r="I30" s="5"/>
    </row>
    <row r="31" spans="1:9" x14ac:dyDescent="0.3">
      <c r="A31" s="15" t="s">
        <v>107</v>
      </c>
      <c r="B31" s="25" t="s">
        <v>108</v>
      </c>
      <c r="C31" s="9" t="s">
        <v>109</v>
      </c>
      <c r="D31" s="24" t="s">
        <v>43</v>
      </c>
      <c r="E31" s="10">
        <v>2</v>
      </c>
      <c r="F31" s="10">
        <v>1</v>
      </c>
      <c r="G31" s="10" t="s">
        <v>78</v>
      </c>
      <c r="H31" s="9"/>
      <c r="I31" s="9"/>
    </row>
    <row r="32" spans="1:9" x14ac:dyDescent="0.3">
      <c r="A32" s="22" t="s">
        <v>110</v>
      </c>
      <c r="B32" s="23" t="s">
        <v>108</v>
      </c>
      <c r="C32" s="5" t="s">
        <v>111</v>
      </c>
      <c r="D32" s="24" t="s">
        <v>43</v>
      </c>
      <c r="E32" s="6">
        <v>2</v>
      </c>
      <c r="F32" s="6">
        <v>1.5</v>
      </c>
      <c r="G32" s="6" t="s">
        <v>78</v>
      </c>
      <c r="H32" s="5"/>
      <c r="I32" s="5"/>
    </row>
    <row r="33" spans="1:9" x14ac:dyDescent="0.3">
      <c r="A33" s="15" t="s">
        <v>112</v>
      </c>
      <c r="B33" s="25" t="s">
        <v>108</v>
      </c>
      <c r="C33" s="9" t="s">
        <v>113</v>
      </c>
      <c r="D33" s="24" t="s">
        <v>43</v>
      </c>
      <c r="E33" s="10">
        <v>2</v>
      </c>
      <c r="F33" s="10">
        <v>1</v>
      </c>
      <c r="G33" s="10" t="s">
        <v>78</v>
      </c>
      <c r="H33" s="9"/>
      <c r="I33" s="9"/>
    </row>
    <row r="34" spans="1:9" x14ac:dyDescent="0.3">
      <c r="A34" s="22" t="s">
        <v>114</v>
      </c>
      <c r="B34" s="23" t="s">
        <v>108</v>
      </c>
      <c r="C34" s="5" t="s">
        <v>115</v>
      </c>
      <c r="D34" s="24" t="s">
        <v>43</v>
      </c>
      <c r="E34" s="6">
        <v>2</v>
      </c>
      <c r="F34" s="6">
        <v>1</v>
      </c>
      <c r="G34" s="6" t="s">
        <v>78</v>
      </c>
      <c r="H34" s="5"/>
      <c r="I34" s="5"/>
    </row>
    <row r="35" spans="1:9" x14ac:dyDescent="0.3">
      <c r="A35" s="15" t="s">
        <v>116</v>
      </c>
      <c r="B35" s="25" t="s">
        <v>117</v>
      </c>
      <c r="C35" s="9" t="s">
        <v>118</v>
      </c>
      <c r="D35" s="26" t="s">
        <v>119</v>
      </c>
      <c r="E35" s="10">
        <v>3</v>
      </c>
      <c r="F35" s="10">
        <v>1</v>
      </c>
      <c r="G35" s="10" t="s">
        <v>78</v>
      </c>
      <c r="H35" s="9"/>
      <c r="I35" s="9"/>
    </row>
    <row r="36" spans="1:9" x14ac:dyDescent="0.3">
      <c r="A36" s="22" t="s">
        <v>120</v>
      </c>
      <c r="B36" s="23" t="s">
        <v>117</v>
      </c>
      <c r="C36" s="5" t="s">
        <v>121</v>
      </c>
      <c r="D36" s="26" t="s">
        <v>119</v>
      </c>
      <c r="E36" s="6">
        <v>3</v>
      </c>
      <c r="F36" s="6">
        <v>1</v>
      </c>
      <c r="G36" s="6" t="s">
        <v>78</v>
      </c>
      <c r="H36" s="5"/>
      <c r="I36" s="5"/>
    </row>
    <row r="37" spans="1:9" x14ac:dyDescent="0.3">
      <c r="A37" s="15" t="s">
        <v>122</v>
      </c>
      <c r="B37" s="25" t="s">
        <v>117</v>
      </c>
      <c r="C37" s="9" t="s">
        <v>123</v>
      </c>
      <c r="D37" s="26" t="s">
        <v>119</v>
      </c>
      <c r="E37" s="10">
        <v>3</v>
      </c>
      <c r="F37" s="10">
        <v>1</v>
      </c>
      <c r="G37" s="10" t="s">
        <v>78</v>
      </c>
      <c r="H37" s="9"/>
      <c r="I37" s="9"/>
    </row>
    <row r="38" spans="1:9" x14ac:dyDescent="0.3">
      <c r="A38" s="22" t="s">
        <v>124</v>
      </c>
      <c r="B38" s="23" t="s">
        <v>125</v>
      </c>
      <c r="C38" s="5" t="s">
        <v>126</v>
      </c>
      <c r="D38" s="26" t="s">
        <v>119</v>
      </c>
      <c r="E38" s="6">
        <v>3</v>
      </c>
      <c r="F38" s="6">
        <v>1</v>
      </c>
      <c r="G38" s="6" t="s">
        <v>78</v>
      </c>
      <c r="H38" s="5"/>
      <c r="I38" s="5"/>
    </row>
    <row r="39" spans="1:9" x14ac:dyDescent="0.3">
      <c r="A39" s="15" t="s">
        <v>127</v>
      </c>
      <c r="B39" s="25" t="s">
        <v>125</v>
      </c>
      <c r="C39" s="9" t="s">
        <v>128</v>
      </c>
      <c r="D39" s="26" t="s">
        <v>119</v>
      </c>
      <c r="E39" s="10">
        <v>3</v>
      </c>
      <c r="F39" s="10">
        <v>0.5</v>
      </c>
      <c r="G39" s="10" t="s">
        <v>78</v>
      </c>
      <c r="H39" s="9"/>
      <c r="I39" s="9"/>
    </row>
    <row r="40" spans="1:9" x14ac:dyDescent="0.3">
      <c r="A40" s="22" t="s">
        <v>129</v>
      </c>
      <c r="B40" s="23" t="s">
        <v>125</v>
      </c>
      <c r="C40" s="5" t="s">
        <v>130</v>
      </c>
      <c r="D40" s="26" t="s">
        <v>119</v>
      </c>
      <c r="E40" s="6">
        <v>3</v>
      </c>
      <c r="F40" s="6">
        <v>1</v>
      </c>
      <c r="G40" s="6" t="s">
        <v>78</v>
      </c>
      <c r="H40" s="5"/>
      <c r="I40" s="5"/>
    </row>
    <row r="41" spans="1:9" x14ac:dyDescent="0.3">
      <c r="A41" s="15" t="s">
        <v>131</v>
      </c>
      <c r="B41" s="25" t="s">
        <v>132</v>
      </c>
      <c r="C41" s="9" t="s">
        <v>133</v>
      </c>
      <c r="D41" s="24" t="s">
        <v>43</v>
      </c>
      <c r="E41" s="10">
        <v>3</v>
      </c>
      <c r="F41" s="10">
        <v>1</v>
      </c>
      <c r="G41" s="10" t="s">
        <v>78</v>
      </c>
      <c r="H41" s="9"/>
      <c r="I41" s="9"/>
    </row>
    <row r="42" spans="1:9" x14ac:dyDescent="0.3">
      <c r="A42" s="22" t="s">
        <v>134</v>
      </c>
      <c r="B42" s="23" t="s">
        <v>132</v>
      </c>
      <c r="C42" s="5" t="s">
        <v>135</v>
      </c>
      <c r="D42" s="24" t="s">
        <v>43</v>
      </c>
      <c r="E42" s="6">
        <v>3</v>
      </c>
      <c r="F42" s="6">
        <v>0.5</v>
      </c>
      <c r="G42" s="6" t="s">
        <v>78</v>
      </c>
      <c r="H42" s="5"/>
      <c r="I42" s="5"/>
    </row>
    <row r="43" spans="1:9" x14ac:dyDescent="0.3">
      <c r="A43" s="15" t="s">
        <v>136</v>
      </c>
      <c r="B43" s="25" t="s">
        <v>137</v>
      </c>
      <c r="C43" s="9" t="s">
        <v>138</v>
      </c>
      <c r="D43" s="24" t="s">
        <v>43</v>
      </c>
      <c r="E43" s="10">
        <v>3</v>
      </c>
      <c r="F43" s="10">
        <v>1</v>
      </c>
      <c r="G43" s="10" t="s">
        <v>78</v>
      </c>
      <c r="H43" s="9"/>
      <c r="I43" s="9"/>
    </row>
    <row r="44" spans="1:9" x14ac:dyDescent="0.3">
      <c r="A44" s="22" t="s">
        <v>139</v>
      </c>
      <c r="B44" s="23" t="s">
        <v>137</v>
      </c>
      <c r="C44" s="5" t="s">
        <v>140</v>
      </c>
      <c r="D44" s="24" t="s">
        <v>43</v>
      </c>
      <c r="E44" s="6">
        <v>3</v>
      </c>
      <c r="F44" s="6">
        <v>2</v>
      </c>
      <c r="G44" s="6" t="s">
        <v>78</v>
      </c>
      <c r="H44" s="5"/>
      <c r="I44" s="5"/>
    </row>
    <row r="45" spans="1:9" x14ac:dyDescent="0.3">
      <c r="A45" s="15" t="s">
        <v>141</v>
      </c>
      <c r="B45" s="25" t="s">
        <v>137</v>
      </c>
      <c r="C45" s="9" t="s">
        <v>142</v>
      </c>
      <c r="D45" s="24" t="s">
        <v>43</v>
      </c>
      <c r="E45" s="10">
        <v>3</v>
      </c>
      <c r="F45" s="10">
        <v>1</v>
      </c>
      <c r="G45" s="10" t="s">
        <v>78</v>
      </c>
      <c r="H45" s="9"/>
      <c r="I45" s="9"/>
    </row>
    <row r="47" spans="1:9" x14ac:dyDescent="0.3">
      <c r="C47" s="27" t="s">
        <v>143</v>
      </c>
      <c r="F47" s="28">
        <f>SUM(F2:F45)</f>
        <v>40.5</v>
      </c>
    </row>
    <row r="48" spans="1:9" x14ac:dyDescent="0.3">
      <c r="C48" s="27" t="s">
        <v>144</v>
      </c>
      <c r="F48" s="28">
        <f>SUMIF(G2:G45,"Feito",F2:F45)</f>
        <v>0</v>
      </c>
    </row>
  </sheetData>
  <autoFilter ref="A1:I45" xr:uid="{00000000-0009-0000-0000-000001000000}"/>
  <dataValidations count="1">
    <dataValidation type="list" allowBlank="1" sqref="G2:G45" xr:uid="{00000000-0002-0000-0100-000000000000}">
      <formula1>"Backlog,A Fazer,Fazendo,Em Review,Feito"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3" width="48" customWidth="1"/>
    <col min="4" max="4" width="10" customWidth="1"/>
    <col min="5" max="5" width="7" customWidth="1"/>
    <col min="6" max="6" width="10" customWidth="1"/>
    <col min="7" max="7" width="12" customWidth="1"/>
    <col min="8" max="8" width="16" customWidth="1"/>
    <col min="9" max="9" width="28" customWidth="1"/>
  </cols>
  <sheetData>
    <row r="1" spans="1:9" ht="26.4" x14ac:dyDescent="0.3">
      <c r="A1" s="29" t="s">
        <v>31</v>
      </c>
      <c r="B1" s="29" t="s">
        <v>32</v>
      </c>
      <c r="C1" s="29" t="s">
        <v>33</v>
      </c>
      <c r="D1" s="29" t="s">
        <v>34</v>
      </c>
      <c r="E1" s="29" t="s">
        <v>35</v>
      </c>
      <c r="F1" s="29" t="s">
        <v>36</v>
      </c>
      <c r="G1" s="29" t="s">
        <v>37</v>
      </c>
      <c r="H1" s="29" t="s">
        <v>38</v>
      </c>
      <c r="I1" s="29" t="s">
        <v>39</v>
      </c>
    </row>
    <row r="2" spans="1:9" x14ac:dyDescent="0.3">
      <c r="A2" s="22" t="s">
        <v>145</v>
      </c>
      <c r="B2" s="23" t="s">
        <v>146</v>
      </c>
      <c r="C2" s="5" t="s">
        <v>147</v>
      </c>
      <c r="D2" s="24" t="s">
        <v>43</v>
      </c>
      <c r="E2" s="6">
        <v>1</v>
      </c>
      <c r="F2" s="6">
        <v>0.5</v>
      </c>
      <c r="G2" s="6" t="s">
        <v>44</v>
      </c>
      <c r="H2" s="5"/>
      <c r="I2" s="5"/>
    </row>
    <row r="3" spans="1:9" x14ac:dyDescent="0.3">
      <c r="A3" s="15" t="s">
        <v>148</v>
      </c>
      <c r="B3" s="25" t="s">
        <v>146</v>
      </c>
      <c r="C3" s="9" t="s">
        <v>149</v>
      </c>
      <c r="D3" s="24" t="s">
        <v>43</v>
      </c>
      <c r="E3" s="10">
        <v>1</v>
      </c>
      <c r="F3" s="10">
        <v>1.5</v>
      </c>
      <c r="G3" s="10" t="s">
        <v>44</v>
      </c>
      <c r="H3" s="9"/>
      <c r="I3" s="9"/>
    </row>
    <row r="4" spans="1:9" x14ac:dyDescent="0.3">
      <c r="A4" s="22" t="s">
        <v>150</v>
      </c>
      <c r="B4" s="23" t="s">
        <v>146</v>
      </c>
      <c r="C4" s="5" t="s">
        <v>151</v>
      </c>
      <c r="D4" s="24" t="s">
        <v>43</v>
      </c>
      <c r="E4" s="6">
        <v>1</v>
      </c>
      <c r="F4" s="6">
        <v>1</v>
      </c>
      <c r="G4" s="6" t="s">
        <v>44</v>
      </c>
      <c r="H4" s="5"/>
      <c r="I4" s="5"/>
    </row>
    <row r="5" spans="1:9" x14ac:dyDescent="0.3">
      <c r="A5" s="15" t="s">
        <v>152</v>
      </c>
      <c r="B5" s="25" t="s">
        <v>146</v>
      </c>
      <c r="C5" s="9" t="s">
        <v>153</v>
      </c>
      <c r="D5" s="24" t="s">
        <v>43</v>
      </c>
      <c r="E5" s="10">
        <v>1</v>
      </c>
      <c r="F5" s="10">
        <v>1</v>
      </c>
      <c r="G5" s="10" t="s">
        <v>44</v>
      </c>
      <c r="H5" s="9"/>
      <c r="I5" s="9"/>
    </row>
    <row r="6" spans="1:9" x14ac:dyDescent="0.3">
      <c r="A6" s="22" t="s">
        <v>154</v>
      </c>
      <c r="B6" s="23" t="s">
        <v>146</v>
      </c>
      <c r="C6" s="5" t="s">
        <v>155</v>
      </c>
      <c r="D6" s="24" t="s">
        <v>43</v>
      </c>
      <c r="E6" s="6">
        <v>1</v>
      </c>
      <c r="F6" s="6">
        <v>1</v>
      </c>
      <c r="G6" s="6" t="s">
        <v>44</v>
      </c>
      <c r="H6" s="5"/>
      <c r="I6" s="5"/>
    </row>
    <row r="7" spans="1:9" x14ac:dyDescent="0.3">
      <c r="A7" s="15" t="s">
        <v>156</v>
      </c>
      <c r="B7" s="25" t="s">
        <v>157</v>
      </c>
      <c r="C7" s="9" t="s">
        <v>158</v>
      </c>
      <c r="D7" s="24" t="s">
        <v>43</v>
      </c>
      <c r="E7" s="10">
        <v>1</v>
      </c>
      <c r="F7" s="10">
        <v>0.5</v>
      </c>
      <c r="G7" s="10" t="s">
        <v>44</v>
      </c>
      <c r="H7" s="9"/>
      <c r="I7" s="9"/>
    </row>
    <row r="8" spans="1:9" x14ac:dyDescent="0.3">
      <c r="A8" s="22" t="s">
        <v>159</v>
      </c>
      <c r="B8" s="23" t="s">
        <v>157</v>
      </c>
      <c r="C8" s="5" t="s">
        <v>160</v>
      </c>
      <c r="D8" s="24" t="s">
        <v>43</v>
      </c>
      <c r="E8" s="6">
        <v>1</v>
      </c>
      <c r="F8" s="6">
        <v>1</v>
      </c>
      <c r="G8" s="6" t="s">
        <v>44</v>
      </c>
      <c r="H8" s="5"/>
      <c r="I8" s="5"/>
    </row>
    <row r="9" spans="1:9" x14ac:dyDescent="0.3">
      <c r="A9" s="15" t="s">
        <v>161</v>
      </c>
      <c r="B9" s="25" t="s">
        <v>157</v>
      </c>
      <c r="C9" s="9" t="s">
        <v>162</v>
      </c>
      <c r="D9" s="24" t="s">
        <v>43</v>
      </c>
      <c r="E9" s="10">
        <v>1</v>
      </c>
      <c r="F9" s="10">
        <v>1.5</v>
      </c>
      <c r="G9" s="10" t="s">
        <v>44</v>
      </c>
      <c r="H9" s="9"/>
      <c r="I9" s="9"/>
    </row>
    <row r="10" spans="1:9" x14ac:dyDescent="0.3">
      <c r="A10" s="22" t="s">
        <v>163</v>
      </c>
      <c r="B10" s="23" t="s">
        <v>157</v>
      </c>
      <c r="C10" s="5" t="s">
        <v>164</v>
      </c>
      <c r="D10" s="24" t="s">
        <v>43</v>
      </c>
      <c r="E10" s="6">
        <v>1</v>
      </c>
      <c r="F10" s="6">
        <v>0.5</v>
      </c>
      <c r="G10" s="6" t="s">
        <v>44</v>
      </c>
      <c r="H10" s="5"/>
      <c r="I10" s="5"/>
    </row>
    <row r="11" spans="1:9" x14ac:dyDescent="0.3">
      <c r="A11" s="15" t="s">
        <v>165</v>
      </c>
      <c r="B11" s="25" t="s">
        <v>166</v>
      </c>
      <c r="C11" s="9" t="s">
        <v>167</v>
      </c>
      <c r="D11" s="24" t="s">
        <v>43</v>
      </c>
      <c r="E11" s="10">
        <v>1</v>
      </c>
      <c r="F11" s="10">
        <v>1</v>
      </c>
      <c r="G11" s="10" t="s">
        <v>44</v>
      </c>
      <c r="H11" s="9"/>
      <c r="I11" s="9"/>
    </row>
    <row r="12" spans="1:9" x14ac:dyDescent="0.3">
      <c r="A12" s="22" t="s">
        <v>168</v>
      </c>
      <c r="B12" s="23" t="s">
        <v>166</v>
      </c>
      <c r="C12" s="5" t="s">
        <v>169</v>
      </c>
      <c r="D12" s="24" t="s">
        <v>43</v>
      </c>
      <c r="E12" s="6">
        <v>1</v>
      </c>
      <c r="F12" s="6">
        <v>2</v>
      </c>
      <c r="G12" s="6" t="s">
        <v>44</v>
      </c>
      <c r="H12" s="5"/>
      <c r="I12" s="5"/>
    </row>
    <row r="13" spans="1:9" x14ac:dyDescent="0.3">
      <c r="A13" s="15" t="s">
        <v>170</v>
      </c>
      <c r="B13" s="25" t="s">
        <v>166</v>
      </c>
      <c r="C13" s="9" t="s">
        <v>171</v>
      </c>
      <c r="D13" s="24" t="s">
        <v>43</v>
      </c>
      <c r="E13" s="10">
        <v>1</v>
      </c>
      <c r="F13" s="10">
        <v>2</v>
      </c>
      <c r="G13" s="10" t="s">
        <v>44</v>
      </c>
      <c r="H13" s="9"/>
      <c r="I13" s="9"/>
    </row>
    <row r="14" spans="1:9" x14ac:dyDescent="0.3">
      <c r="A14" s="22" t="s">
        <v>172</v>
      </c>
      <c r="B14" s="23" t="s">
        <v>166</v>
      </c>
      <c r="C14" s="5" t="s">
        <v>173</v>
      </c>
      <c r="D14" s="24" t="s">
        <v>43</v>
      </c>
      <c r="E14" s="6">
        <v>1</v>
      </c>
      <c r="F14" s="6">
        <v>2</v>
      </c>
      <c r="G14" s="6" t="s">
        <v>44</v>
      </c>
      <c r="H14" s="5"/>
      <c r="I14" s="5"/>
    </row>
    <row r="15" spans="1:9" x14ac:dyDescent="0.3">
      <c r="A15" s="15" t="s">
        <v>174</v>
      </c>
      <c r="B15" s="25" t="s">
        <v>166</v>
      </c>
      <c r="C15" s="9" t="s">
        <v>175</v>
      </c>
      <c r="D15" s="24" t="s">
        <v>43</v>
      </c>
      <c r="E15" s="10">
        <v>1</v>
      </c>
      <c r="F15" s="10">
        <v>1</v>
      </c>
      <c r="G15" s="10" t="s">
        <v>44</v>
      </c>
      <c r="H15" s="9"/>
      <c r="I15" s="9"/>
    </row>
    <row r="16" spans="1:9" x14ac:dyDescent="0.3">
      <c r="A16" s="22" t="s">
        <v>176</v>
      </c>
      <c r="B16" s="23" t="s">
        <v>166</v>
      </c>
      <c r="C16" s="5" t="s">
        <v>177</v>
      </c>
      <c r="D16" s="24" t="s">
        <v>43</v>
      </c>
      <c r="E16" s="6">
        <v>1</v>
      </c>
      <c r="F16" s="6">
        <v>1</v>
      </c>
      <c r="G16" s="6" t="s">
        <v>44</v>
      </c>
      <c r="H16" s="5"/>
      <c r="I16" s="5"/>
    </row>
    <row r="17" spans="1:9" x14ac:dyDescent="0.3">
      <c r="A17" s="15" t="s">
        <v>178</v>
      </c>
      <c r="B17" s="25" t="s">
        <v>179</v>
      </c>
      <c r="C17" s="9" t="s">
        <v>180</v>
      </c>
      <c r="D17" s="24" t="s">
        <v>43</v>
      </c>
      <c r="E17" s="10">
        <v>2</v>
      </c>
      <c r="F17" s="10">
        <v>1</v>
      </c>
      <c r="G17" s="10" t="s">
        <v>78</v>
      </c>
      <c r="H17" s="9"/>
      <c r="I17" s="9"/>
    </row>
    <row r="18" spans="1:9" x14ac:dyDescent="0.3">
      <c r="A18" s="22" t="s">
        <v>181</v>
      </c>
      <c r="B18" s="23" t="s">
        <v>179</v>
      </c>
      <c r="C18" s="5" t="s">
        <v>182</v>
      </c>
      <c r="D18" s="24" t="s">
        <v>43</v>
      </c>
      <c r="E18" s="6">
        <v>2</v>
      </c>
      <c r="F18" s="6">
        <v>1.5</v>
      </c>
      <c r="G18" s="6" t="s">
        <v>78</v>
      </c>
      <c r="H18" s="5"/>
      <c r="I18" s="5"/>
    </row>
    <row r="19" spans="1:9" x14ac:dyDescent="0.3">
      <c r="A19" s="15" t="s">
        <v>183</v>
      </c>
      <c r="B19" s="25" t="s">
        <v>179</v>
      </c>
      <c r="C19" s="9" t="s">
        <v>184</v>
      </c>
      <c r="D19" s="24" t="s">
        <v>43</v>
      </c>
      <c r="E19" s="10">
        <v>2</v>
      </c>
      <c r="F19" s="10">
        <v>1</v>
      </c>
      <c r="G19" s="10" t="s">
        <v>78</v>
      </c>
      <c r="H19" s="9"/>
      <c r="I19" s="9"/>
    </row>
    <row r="20" spans="1:9" x14ac:dyDescent="0.3">
      <c r="A20" s="22" t="s">
        <v>185</v>
      </c>
      <c r="B20" s="23" t="s">
        <v>179</v>
      </c>
      <c r="C20" s="5" t="s">
        <v>186</v>
      </c>
      <c r="D20" s="24" t="s">
        <v>43</v>
      </c>
      <c r="E20" s="6">
        <v>2</v>
      </c>
      <c r="F20" s="6">
        <v>0.5</v>
      </c>
      <c r="G20" s="6" t="s">
        <v>78</v>
      </c>
      <c r="H20" s="5"/>
      <c r="I20" s="5"/>
    </row>
    <row r="21" spans="1:9" x14ac:dyDescent="0.3">
      <c r="A21" s="15" t="s">
        <v>187</v>
      </c>
      <c r="B21" s="25" t="s">
        <v>188</v>
      </c>
      <c r="C21" s="9" t="s">
        <v>189</v>
      </c>
      <c r="D21" s="24" t="s">
        <v>43</v>
      </c>
      <c r="E21" s="10">
        <v>2</v>
      </c>
      <c r="F21" s="10">
        <v>1</v>
      </c>
      <c r="G21" s="10" t="s">
        <v>78</v>
      </c>
      <c r="H21" s="9"/>
      <c r="I21" s="9"/>
    </row>
    <row r="22" spans="1:9" x14ac:dyDescent="0.3">
      <c r="A22" s="22" t="s">
        <v>190</v>
      </c>
      <c r="B22" s="23" t="s">
        <v>188</v>
      </c>
      <c r="C22" s="5" t="s">
        <v>191</v>
      </c>
      <c r="D22" s="24" t="s">
        <v>43</v>
      </c>
      <c r="E22" s="6">
        <v>2</v>
      </c>
      <c r="F22" s="6">
        <v>0.5</v>
      </c>
      <c r="G22" s="6" t="s">
        <v>78</v>
      </c>
      <c r="H22" s="5"/>
      <c r="I22" s="5"/>
    </row>
    <row r="23" spans="1:9" x14ac:dyDescent="0.3">
      <c r="A23" s="15" t="s">
        <v>192</v>
      </c>
      <c r="B23" s="25" t="s">
        <v>188</v>
      </c>
      <c r="C23" s="9" t="s">
        <v>193</v>
      </c>
      <c r="D23" s="24" t="s">
        <v>43</v>
      </c>
      <c r="E23" s="10">
        <v>2</v>
      </c>
      <c r="F23" s="10">
        <v>0.5</v>
      </c>
      <c r="G23" s="10" t="s">
        <v>78</v>
      </c>
      <c r="H23" s="9"/>
      <c r="I23" s="9"/>
    </row>
    <row r="24" spans="1:9" x14ac:dyDescent="0.3">
      <c r="A24" s="22" t="s">
        <v>194</v>
      </c>
      <c r="B24" s="23" t="s">
        <v>195</v>
      </c>
      <c r="C24" s="5" t="s">
        <v>196</v>
      </c>
      <c r="D24" s="24" t="s">
        <v>43</v>
      </c>
      <c r="E24" s="6">
        <v>2</v>
      </c>
      <c r="F24" s="6">
        <v>1</v>
      </c>
      <c r="G24" s="6" t="s">
        <v>78</v>
      </c>
      <c r="H24" s="5"/>
      <c r="I24" s="5"/>
    </row>
    <row r="25" spans="1:9" x14ac:dyDescent="0.3">
      <c r="A25" s="15" t="s">
        <v>197</v>
      </c>
      <c r="B25" s="25" t="s">
        <v>195</v>
      </c>
      <c r="C25" s="9" t="s">
        <v>198</v>
      </c>
      <c r="D25" s="24" t="s">
        <v>43</v>
      </c>
      <c r="E25" s="10">
        <v>2</v>
      </c>
      <c r="F25" s="10">
        <v>1</v>
      </c>
      <c r="G25" s="10" t="s">
        <v>78</v>
      </c>
      <c r="H25" s="9"/>
      <c r="I25" s="9"/>
    </row>
    <row r="26" spans="1:9" x14ac:dyDescent="0.3">
      <c r="A26" s="22" t="s">
        <v>199</v>
      </c>
      <c r="B26" s="23" t="s">
        <v>195</v>
      </c>
      <c r="C26" s="5" t="s">
        <v>200</v>
      </c>
      <c r="D26" s="24" t="s">
        <v>43</v>
      </c>
      <c r="E26" s="6">
        <v>2</v>
      </c>
      <c r="F26" s="6">
        <v>1</v>
      </c>
      <c r="G26" s="6" t="s">
        <v>78</v>
      </c>
      <c r="H26" s="5"/>
      <c r="I26" s="5"/>
    </row>
    <row r="27" spans="1:9" x14ac:dyDescent="0.3">
      <c r="A27" s="15" t="s">
        <v>201</v>
      </c>
      <c r="B27" s="25" t="s">
        <v>195</v>
      </c>
      <c r="C27" s="9" t="s">
        <v>202</v>
      </c>
      <c r="D27" s="24" t="s">
        <v>43</v>
      </c>
      <c r="E27" s="10">
        <v>2</v>
      </c>
      <c r="F27" s="10">
        <v>0.5</v>
      </c>
      <c r="G27" s="10" t="s">
        <v>78</v>
      </c>
      <c r="H27" s="9"/>
      <c r="I27" s="9"/>
    </row>
    <row r="28" spans="1:9" x14ac:dyDescent="0.3">
      <c r="A28" s="22" t="s">
        <v>203</v>
      </c>
      <c r="B28" s="23" t="s">
        <v>204</v>
      </c>
      <c r="C28" s="5" t="s">
        <v>205</v>
      </c>
      <c r="D28" s="24" t="s">
        <v>43</v>
      </c>
      <c r="E28" s="6">
        <v>2</v>
      </c>
      <c r="F28" s="6">
        <v>0.5</v>
      </c>
      <c r="G28" s="6" t="s">
        <v>78</v>
      </c>
      <c r="H28" s="5"/>
      <c r="I28" s="5"/>
    </row>
    <row r="29" spans="1:9" x14ac:dyDescent="0.3">
      <c r="A29" s="15" t="s">
        <v>206</v>
      </c>
      <c r="B29" s="25" t="s">
        <v>204</v>
      </c>
      <c r="C29" s="9" t="s">
        <v>207</v>
      </c>
      <c r="D29" s="24" t="s">
        <v>43</v>
      </c>
      <c r="E29" s="10">
        <v>2</v>
      </c>
      <c r="F29" s="10">
        <v>1</v>
      </c>
      <c r="G29" s="10" t="s">
        <v>78</v>
      </c>
      <c r="H29" s="9"/>
      <c r="I29" s="9"/>
    </row>
    <row r="30" spans="1:9" x14ac:dyDescent="0.3">
      <c r="A30" s="22" t="s">
        <v>208</v>
      </c>
      <c r="B30" s="23" t="s">
        <v>204</v>
      </c>
      <c r="C30" s="5" t="s">
        <v>209</v>
      </c>
      <c r="D30" s="24" t="s">
        <v>43</v>
      </c>
      <c r="E30" s="6">
        <v>2</v>
      </c>
      <c r="F30" s="6">
        <v>0.5</v>
      </c>
      <c r="G30" s="6" t="s">
        <v>78</v>
      </c>
      <c r="H30" s="5"/>
      <c r="I30" s="5"/>
    </row>
    <row r="31" spans="1:9" x14ac:dyDescent="0.3">
      <c r="A31" s="15" t="s">
        <v>210</v>
      </c>
      <c r="B31" s="25" t="s">
        <v>211</v>
      </c>
      <c r="C31" s="9" t="s">
        <v>212</v>
      </c>
      <c r="D31" s="26" t="s">
        <v>119</v>
      </c>
      <c r="E31" s="10">
        <v>3</v>
      </c>
      <c r="F31" s="10">
        <v>0.5</v>
      </c>
      <c r="G31" s="10" t="s">
        <v>78</v>
      </c>
      <c r="H31" s="9"/>
      <c r="I31" s="9"/>
    </row>
    <row r="32" spans="1:9" x14ac:dyDescent="0.3">
      <c r="A32" s="22" t="s">
        <v>213</v>
      </c>
      <c r="B32" s="23" t="s">
        <v>211</v>
      </c>
      <c r="C32" s="5" t="s">
        <v>214</v>
      </c>
      <c r="D32" s="26" t="s">
        <v>119</v>
      </c>
      <c r="E32" s="6">
        <v>3</v>
      </c>
      <c r="F32" s="6">
        <v>1</v>
      </c>
      <c r="G32" s="6" t="s">
        <v>78</v>
      </c>
      <c r="H32" s="5"/>
      <c r="I32" s="5"/>
    </row>
    <row r="33" spans="1:9" x14ac:dyDescent="0.3">
      <c r="A33" s="15" t="s">
        <v>215</v>
      </c>
      <c r="B33" s="25" t="s">
        <v>211</v>
      </c>
      <c r="C33" s="9" t="s">
        <v>216</v>
      </c>
      <c r="D33" s="26" t="s">
        <v>119</v>
      </c>
      <c r="E33" s="10">
        <v>3</v>
      </c>
      <c r="F33" s="10">
        <v>1</v>
      </c>
      <c r="G33" s="10" t="s">
        <v>78</v>
      </c>
      <c r="H33" s="9"/>
      <c r="I33" s="9"/>
    </row>
    <row r="34" spans="1:9" x14ac:dyDescent="0.3">
      <c r="A34" s="22" t="s">
        <v>217</v>
      </c>
      <c r="B34" s="23" t="s">
        <v>211</v>
      </c>
      <c r="C34" s="5" t="s">
        <v>218</v>
      </c>
      <c r="D34" s="26" t="s">
        <v>119</v>
      </c>
      <c r="E34" s="6">
        <v>3</v>
      </c>
      <c r="F34" s="6">
        <v>0.5</v>
      </c>
      <c r="G34" s="6" t="s">
        <v>78</v>
      </c>
      <c r="H34" s="5"/>
      <c r="I34" s="5"/>
    </row>
    <row r="35" spans="1:9" x14ac:dyDescent="0.3">
      <c r="A35" s="15" t="s">
        <v>219</v>
      </c>
      <c r="B35" s="25" t="s">
        <v>220</v>
      </c>
      <c r="C35" s="9" t="s">
        <v>221</v>
      </c>
      <c r="D35" s="26" t="s">
        <v>119</v>
      </c>
      <c r="E35" s="10">
        <v>3</v>
      </c>
      <c r="F35" s="10">
        <v>1</v>
      </c>
      <c r="G35" s="10" t="s">
        <v>78</v>
      </c>
      <c r="H35" s="9"/>
      <c r="I35" s="9"/>
    </row>
    <row r="36" spans="1:9" x14ac:dyDescent="0.3">
      <c r="A36" s="22" t="s">
        <v>222</v>
      </c>
      <c r="B36" s="23" t="s">
        <v>220</v>
      </c>
      <c r="C36" s="5" t="s">
        <v>223</v>
      </c>
      <c r="D36" s="26" t="s">
        <v>119</v>
      </c>
      <c r="E36" s="6">
        <v>3</v>
      </c>
      <c r="F36" s="6">
        <v>1</v>
      </c>
      <c r="G36" s="6" t="s">
        <v>78</v>
      </c>
      <c r="H36" s="5"/>
      <c r="I36" s="5"/>
    </row>
    <row r="37" spans="1:9" x14ac:dyDescent="0.3">
      <c r="A37" s="15" t="s">
        <v>224</v>
      </c>
      <c r="B37" s="25" t="s">
        <v>220</v>
      </c>
      <c r="C37" s="9" t="s">
        <v>225</v>
      </c>
      <c r="D37" s="26" t="s">
        <v>119</v>
      </c>
      <c r="E37" s="10">
        <v>3</v>
      </c>
      <c r="F37" s="10">
        <v>0.5</v>
      </c>
      <c r="G37" s="10" t="s">
        <v>78</v>
      </c>
      <c r="H37" s="9"/>
      <c r="I37" s="9"/>
    </row>
    <row r="38" spans="1:9" x14ac:dyDescent="0.3">
      <c r="A38" s="22" t="s">
        <v>226</v>
      </c>
      <c r="B38" s="23" t="s">
        <v>137</v>
      </c>
      <c r="C38" s="5" t="s">
        <v>138</v>
      </c>
      <c r="D38" s="24" t="s">
        <v>43</v>
      </c>
      <c r="E38" s="6">
        <v>3</v>
      </c>
      <c r="F38" s="6">
        <v>1</v>
      </c>
      <c r="G38" s="6" t="s">
        <v>78</v>
      </c>
      <c r="H38" s="5"/>
      <c r="I38" s="5"/>
    </row>
    <row r="39" spans="1:9" x14ac:dyDescent="0.3">
      <c r="A39" s="15" t="s">
        <v>227</v>
      </c>
      <c r="B39" s="25" t="s">
        <v>137</v>
      </c>
      <c r="C39" s="9" t="s">
        <v>140</v>
      </c>
      <c r="D39" s="24" t="s">
        <v>43</v>
      </c>
      <c r="E39" s="10">
        <v>3</v>
      </c>
      <c r="F39" s="10">
        <v>2</v>
      </c>
      <c r="G39" s="10" t="s">
        <v>78</v>
      </c>
      <c r="H39" s="9"/>
      <c r="I39" s="9"/>
    </row>
    <row r="40" spans="1:9" x14ac:dyDescent="0.3">
      <c r="A40" s="22" t="s">
        <v>228</v>
      </c>
      <c r="B40" s="23" t="s">
        <v>137</v>
      </c>
      <c r="C40" s="5" t="s">
        <v>229</v>
      </c>
      <c r="D40" s="24" t="s">
        <v>43</v>
      </c>
      <c r="E40" s="6">
        <v>3</v>
      </c>
      <c r="F40" s="6">
        <v>1.5</v>
      </c>
      <c r="G40" s="6" t="s">
        <v>78</v>
      </c>
      <c r="H40" s="5"/>
      <c r="I40" s="5"/>
    </row>
    <row r="42" spans="1:9" x14ac:dyDescent="0.3">
      <c r="C42" s="27" t="s">
        <v>143</v>
      </c>
      <c r="F42" s="28">
        <f>SUM(F2:F40)</f>
        <v>39</v>
      </c>
    </row>
    <row r="43" spans="1:9" x14ac:dyDescent="0.3">
      <c r="C43" s="27" t="s">
        <v>144</v>
      </c>
      <c r="F43" s="28">
        <f>SUMIF(G2:G40,"Feito",F2:F40)</f>
        <v>0</v>
      </c>
    </row>
  </sheetData>
  <autoFilter ref="A1:I40" xr:uid="{00000000-0009-0000-0000-000002000000}"/>
  <dataValidations count="1">
    <dataValidation type="list" allowBlank="1" sqref="G2:G40" xr:uid="{00000000-0002-0000-0200-000000000000}">
      <formula1>"Backlog,A Fazer,Fazendo,Em Review,Feito"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3" width="48" customWidth="1"/>
    <col min="4" max="4" width="10" customWidth="1"/>
    <col min="5" max="5" width="7" customWidth="1"/>
    <col min="6" max="6" width="10" customWidth="1"/>
    <col min="7" max="7" width="12" customWidth="1"/>
    <col min="8" max="8" width="16" customWidth="1"/>
    <col min="9" max="9" width="28" customWidth="1"/>
  </cols>
  <sheetData>
    <row r="1" spans="1:9" ht="26.4" x14ac:dyDescent="0.3">
      <c r="A1" s="30" t="s">
        <v>31</v>
      </c>
      <c r="B1" s="30" t="s">
        <v>32</v>
      </c>
      <c r="C1" s="30" t="s">
        <v>33</v>
      </c>
      <c r="D1" s="30" t="s">
        <v>34</v>
      </c>
      <c r="E1" s="30" t="s">
        <v>35</v>
      </c>
      <c r="F1" s="30" t="s">
        <v>36</v>
      </c>
      <c r="G1" s="30" t="s">
        <v>37</v>
      </c>
      <c r="H1" s="30" t="s">
        <v>38</v>
      </c>
      <c r="I1" s="30" t="s">
        <v>39</v>
      </c>
    </row>
    <row r="2" spans="1:9" x14ac:dyDescent="0.3">
      <c r="A2" s="22" t="s">
        <v>230</v>
      </c>
      <c r="B2" s="23" t="s">
        <v>231</v>
      </c>
      <c r="C2" s="5" t="s">
        <v>147</v>
      </c>
      <c r="D2" s="24" t="s">
        <v>43</v>
      </c>
      <c r="E2" s="6">
        <v>1</v>
      </c>
      <c r="F2" s="6">
        <v>0.5</v>
      </c>
      <c r="G2" s="6" t="s">
        <v>44</v>
      </c>
      <c r="H2" s="5"/>
      <c r="I2" s="5"/>
    </row>
    <row r="3" spans="1:9" x14ac:dyDescent="0.3">
      <c r="A3" s="15" t="s">
        <v>232</v>
      </c>
      <c r="B3" s="25" t="s">
        <v>231</v>
      </c>
      <c r="C3" s="9" t="s">
        <v>149</v>
      </c>
      <c r="D3" s="24" t="s">
        <v>43</v>
      </c>
      <c r="E3" s="10">
        <v>1</v>
      </c>
      <c r="F3" s="10">
        <v>1.5</v>
      </c>
      <c r="G3" s="10" t="s">
        <v>44</v>
      </c>
      <c r="H3" s="9"/>
      <c r="I3" s="9"/>
    </row>
    <row r="4" spans="1:9" x14ac:dyDescent="0.3">
      <c r="A4" s="22" t="s">
        <v>233</v>
      </c>
      <c r="B4" s="23" t="s">
        <v>231</v>
      </c>
      <c r="C4" s="5" t="s">
        <v>151</v>
      </c>
      <c r="D4" s="24" t="s">
        <v>43</v>
      </c>
      <c r="E4" s="6">
        <v>1</v>
      </c>
      <c r="F4" s="6">
        <v>1</v>
      </c>
      <c r="G4" s="6" t="s">
        <v>44</v>
      </c>
      <c r="H4" s="5"/>
      <c r="I4" s="5"/>
    </row>
    <row r="5" spans="1:9" x14ac:dyDescent="0.3">
      <c r="A5" s="15" t="s">
        <v>234</v>
      </c>
      <c r="B5" s="25" t="s">
        <v>231</v>
      </c>
      <c r="C5" s="9" t="s">
        <v>235</v>
      </c>
      <c r="D5" s="24" t="s">
        <v>43</v>
      </c>
      <c r="E5" s="10">
        <v>1</v>
      </c>
      <c r="F5" s="10">
        <v>1</v>
      </c>
      <c r="G5" s="10" t="s">
        <v>44</v>
      </c>
      <c r="H5" s="9"/>
      <c r="I5" s="9"/>
    </row>
    <row r="6" spans="1:9" x14ac:dyDescent="0.3">
      <c r="A6" s="22" t="s">
        <v>236</v>
      </c>
      <c r="B6" s="23" t="s">
        <v>231</v>
      </c>
      <c r="C6" s="5" t="s">
        <v>237</v>
      </c>
      <c r="D6" s="24" t="s">
        <v>43</v>
      </c>
      <c r="E6" s="6">
        <v>1</v>
      </c>
      <c r="F6" s="6">
        <v>1.5</v>
      </c>
      <c r="G6" s="6" t="s">
        <v>44</v>
      </c>
      <c r="H6" s="5"/>
      <c r="I6" s="5"/>
    </row>
    <row r="7" spans="1:9" x14ac:dyDescent="0.3">
      <c r="A7" s="15" t="s">
        <v>238</v>
      </c>
      <c r="B7" s="25" t="s">
        <v>231</v>
      </c>
      <c r="C7" s="9" t="s">
        <v>239</v>
      </c>
      <c r="D7" s="24" t="s">
        <v>43</v>
      </c>
      <c r="E7" s="10">
        <v>1</v>
      </c>
      <c r="F7" s="10">
        <v>0.5</v>
      </c>
      <c r="G7" s="10" t="s">
        <v>44</v>
      </c>
      <c r="H7" s="9"/>
      <c r="I7" s="9"/>
    </row>
    <row r="8" spans="1:9" x14ac:dyDescent="0.3">
      <c r="A8" s="22" t="s">
        <v>240</v>
      </c>
      <c r="B8" s="23" t="s">
        <v>241</v>
      </c>
      <c r="C8" s="5" t="s">
        <v>242</v>
      </c>
      <c r="D8" s="24" t="s">
        <v>43</v>
      </c>
      <c r="E8" s="6">
        <v>2</v>
      </c>
      <c r="F8" s="6">
        <v>0.5</v>
      </c>
      <c r="G8" s="6" t="s">
        <v>78</v>
      </c>
      <c r="H8" s="5"/>
      <c r="I8" s="5"/>
    </row>
    <row r="9" spans="1:9" x14ac:dyDescent="0.3">
      <c r="A9" s="15" t="s">
        <v>243</v>
      </c>
      <c r="B9" s="25" t="s">
        <v>241</v>
      </c>
      <c r="C9" s="9" t="s">
        <v>244</v>
      </c>
      <c r="D9" s="24" t="s">
        <v>43</v>
      </c>
      <c r="E9" s="10">
        <v>2</v>
      </c>
      <c r="F9" s="10">
        <v>0.5</v>
      </c>
      <c r="G9" s="10" t="s">
        <v>78</v>
      </c>
      <c r="H9" s="9"/>
      <c r="I9" s="9"/>
    </row>
    <row r="10" spans="1:9" x14ac:dyDescent="0.3">
      <c r="A10" s="22" t="s">
        <v>245</v>
      </c>
      <c r="B10" s="23" t="s">
        <v>241</v>
      </c>
      <c r="C10" s="5" t="s">
        <v>246</v>
      </c>
      <c r="D10" s="24" t="s">
        <v>43</v>
      </c>
      <c r="E10" s="6">
        <v>2</v>
      </c>
      <c r="F10" s="6">
        <v>1</v>
      </c>
      <c r="G10" s="6" t="s">
        <v>78</v>
      </c>
      <c r="H10" s="5"/>
      <c r="I10" s="5"/>
    </row>
    <row r="11" spans="1:9" x14ac:dyDescent="0.3">
      <c r="A11" s="15" t="s">
        <v>247</v>
      </c>
      <c r="B11" s="25" t="s">
        <v>241</v>
      </c>
      <c r="C11" s="9" t="s">
        <v>248</v>
      </c>
      <c r="D11" s="24" t="s">
        <v>43</v>
      </c>
      <c r="E11" s="10">
        <v>2</v>
      </c>
      <c r="F11" s="10">
        <v>1</v>
      </c>
      <c r="G11" s="10" t="s">
        <v>78</v>
      </c>
      <c r="H11" s="9"/>
      <c r="I11" s="9"/>
    </row>
    <row r="12" spans="1:9" x14ac:dyDescent="0.3">
      <c r="A12" s="22" t="s">
        <v>249</v>
      </c>
      <c r="B12" s="23" t="s">
        <v>241</v>
      </c>
      <c r="C12" s="5" t="s">
        <v>250</v>
      </c>
      <c r="D12" s="24" t="s">
        <v>43</v>
      </c>
      <c r="E12" s="6">
        <v>2</v>
      </c>
      <c r="F12" s="6">
        <v>0.5</v>
      </c>
      <c r="G12" s="6" t="s">
        <v>78</v>
      </c>
      <c r="H12" s="5"/>
      <c r="I12" s="5"/>
    </row>
    <row r="13" spans="1:9" x14ac:dyDescent="0.3">
      <c r="A13" s="15" t="s">
        <v>251</v>
      </c>
      <c r="B13" s="25" t="s">
        <v>252</v>
      </c>
      <c r="C13" s="9" t="s">
        <v>253</v>
      </c>
      <c r="D13" s="24" t="s">
        <v>43</v>
      </c>
      <c r="E13" s="10">
        <v>2</v>
      </c>
      <c r="F13" s="10">
        <v>1</v>
      </c>
      <c r="G13" s="10" t="s">
        <v>78</v>
      </c>
      <c r="H13" s="9"/>
      <c r="I13" s="9"/>
    </row>
    <row r="14" spans="1:9" x14ac:dyDescent="0.3">
      <c r="A14" s="22" t="s">
        <v>254</v>
      </c>
      <c r="B14" s="23" t="s">
        <v>252</v>
      </c>
      <c r="C14" s="5" t="s">
        <v>255</v>
      </c>
      <c r="D14" s="24" t="s">
        <v>43</v>
      </c>
      <c r="E14" s="6">
        <v>2</v>
      </c>
      <c r="F14" s="6">
        <v>1</v>
      </c>
      <c r="G14" s="6" t="s">
        <v>78</v>
      </c>
      <c r="H14" s="5"/>
      <c r="I14" s="5"/>
    </row>
    <row r="15" spans="1:9" x14ac:dyDescent="0.3">
      <c r="A15" s="15" t="s">
        <v>256</v>
      </c>
      <c r="B15" s="25" t="s">
        <v>257</v>
      </c>
      <c r="C15" s="9" t="s">
        <v>258</v>
      </c>
      <c r="D15" s="24" t="s">
        <v>43</v>
      </c>
      <c r="E15" s="10">
        <v>2</v>
      </c>
      <c r="F15" s="10">
        <v>0.5</v>
      </c>
      <c r="G15" s="10" t="s">
        <v>78</v>
      </c>
      <c r="H15" s="9"/>
      <c r="I15" s="9"/>
    </row>
    <row r="16" spans="1:9" x14ac:dyDescent="0.3">
      <c r="A16" s="22" t="s">
        <v>259</v>
      </c>
      <c r="B16" s="23" t="s">
        <v>257</v>
      </c>
      <c r="C16" s="5" t="s">
        <v>260</v>
      </c>
      <c r="D16" s="24" t="s">
        <v>43</v>
      </c>
      <c r="E16" s="6">
        <v>2</v>
      </c>
      <c r="F16" s="6">
        <v>1</v>
      </c>
      <c r="G16" s="6" t="s">
        <v>78</v>
      </c>
      <c r="H16" s="5"/>
      <c r="I16" s="5"/>
    </row>
    <row r="17" spans="1:9" x14ac:dyDescent="0.3">
      <c r="A17" s="15" t="s">
        <v>261</v>
      </c>
      <c r="B17" s="25" t="s">
        <v>257</v>
      </c>
      <c r="C17" s="9" t="s">
        <v>262</v>
      </c>
      <c r="D17" s="24" t="s">
        <v>43</v>
      </c>
      <c r="E17" s="10">
        <v>2</v>
      </c>
      <c r="F17" s="10">
        <v>1</v>
      </c>
      <c r="G17" s="10" t="s">
        <v>78</v>
      </c>
      <c r="H17" s="9"/>
      <c r="I17" s="9"/>
    </row>
    <row r="18" spans="1:9" x14ac:dyDescent="0.3">
      <c r="A18" s="22" t="s">
        <v>263</v>
      </c>
      <c r="B18" s="23" t="s">
        <v>264</v>
      </c>
      <c r="C18" s="5" t="s">
        <v>265</v>
      </c>
      <c r="D18" s="24" t="s">
        <v>43</v>
      </c>
      <c r="E18" s="6">
        <v>2</v>
      </c>
      <c r="F18" s="6">
        <v>1</v>
      </c>
      <c r="G18" s="6" t="s">
        <v>78</v>
      </c>
      <c r="H18" s="5"/>
      <c r="I18" s="5"/>
    </row>
    <row r="19" spans="1:9" x14ac:dyDescent="0.3">
      <c r="A19" s="15" t="s">
        <v>266</v>
      </c>
      <c r="B19" s="25" t="s">
        <v>264</v>
      </c>
      <c r="C19" s="9" t="s">
        <v>267</v>
      </c>
      <c r="D19" s="24" t="s">
        <v>43</v>
      </c>
      <c r="E19" s="10">
        <v>2</v>
      </c>
      <c r="F19" s="10">
        <v>1</v>
      </c>
      <c r="G19" s="10" t="s">
        <v>78</v>
      </c>
      <c r="H19" s="9"/>
      <c r="I19" s="9"/>
    </row>
    <row r="20" spans="1:9" x14ac:dyDescent="0.3">
      <c r="A20" s="22" t="s">
        <v>268</v>
      </c>
      <c r="B20" s="23" t="s">
        <v>269</v>
      </c>
      <c r="C20" s="5" t="s">
        <v>270</v>
      </c>
      <c r="D20" s="24" t="s">
        <v>43</v>
      </c>
      <c r="E20" s="6">
        <v>2</v>
      </c>
      <c r="F20" s="6">
        <v>1</v>
      </c>
      <c r="G20" s="6" t="s">
        <v>78</v>
      </c>
      <c r="H20" s="5"/>
      <c r="I20" s="5"/>
    </row>
    <row r="21" spans="1:9" x14ac:dyDescent="0.3">
      <c r="A21" s="15" t="s">
        <v>271</v>
      </c>
      <c r="B21" s="25" t="s">
        <v>269</v>
      </c>
      <c r="C21" s="9" t="s">
        <v>272</v>
      </c>
      <c r="D21" s="24" t="s">
        <v>43</v>
      </c>
      <c r="E21" s="10">
        <v>2</v>
      </c>
      <c r="F21" s="10">
        <v>1</v>
      </c>
      <c r="G21" s="10" t="s">
        <v>78</v>
      </c>
      <c r="H21" s="9"/>
      <c r="I21" s="9"/>
    </row>
    <row r="22" spans="1:9" x14ac:dyDescent="0.3">
      <c r="A22" s="22" t="s">
        <v>273</v>
      </c>
      <c r="B22" s="23" t="s">
        <v>269</v>
      </c>
      <c r="C22" s="5" t="s">
        <v>274</v>
      </c>
      <c r="D22" s="24" t="s">
        <v>43</v>
      </c>
      <c r="E22" s="6">
        <v>2</v>
      </c>
      <c r="F22" s="6">
        <v>1</v>
      </c>
      <c r="G22" s="6" t="s">
        <v>78</v>
      </c>
      <c r="H22" s="5"/>
      <c r="I22" s="5"/>
    </row>
    <row r="23" spans="1:9" x14ac:dyDescent="0.3">
      <c r="A23" s="15" t="s">
        <v>275</v>
      </c>
      <c r="B23" s="25" t="s">
        <v>269</v>
      </c>
      <c r="C23" s="9" t="s">
        <v>276</v>
      </c>
      <c r="D23" s="24" t="s">
        <v>43</v>
      </c>
      <c r="E23" s="10">
        <v>2</v>
      </c>
      <c r="F23" s="10">
        <v>1</v>
      </c>
      <c r="G23" s="10" t="s">
        <v>78</v>
      </c>
      <c r="H23" s="9"/>
      <c r="I23" s="9"/>
    </row>
    <row r="24" spans="1:9" x14ac:dyDescent="0.3">
      <c r="A24" s="22" t="s">
        <v>277</v>
      </c>
      <c r="B24" s="23" t="s">
        <v>278</v>
      </c>
      <c r="C24" s="5" t="s">
        <v>279</v>
      </c>
      <c r="D24" s="24" t="s">
        <v>43</v>
      </c>
      <c r="E24" s="6">
        <v>2</v>
      </c>
      <c r="F24" s="6">
        <v>1</v>
      </c>
      <c r="G24" s="6" t="s">
        <v>78</v>
      </c>
      <c r="H24" s="5"/>
      <c r="I24" s="5"/>
    </row>
    <row r="25" spans="1:9" x14ac:dyDescent="0.3">
      <c r="A25" s="15" t="s">
        <v>280</v>
      </c>
      <c r="B25" s="25" t="s">
        <v>278</v>
      </c>
      <c r="C25" s="9" t="s">
        <v>281</v>
      </c>
      <c r="D25" s="24" t="s">
        <v>43</v>
      </c>
      <c r="E25" s="10">
        <v>2</v>
      </c>
      <c r="F25" s="10">
        <v>1</v>
      </c>
      <c r="G25" s="10" t="s">
        <v>78</v>
      </c>
      <c r="H25" s="9"/>
      <c r="I25" s="9"/>
    </row>
    <row r="26" spans="1:9" x14ac:dyDescent="0.3">
      <c r="A26" s="22" t="s">
        <v>282</v>
      </c>
      <c r="B26" s="23" t="s">
        <v>278</v>
      </c>
      <c r="C26" s="5" t="s">
        <v>283</v>
      </c>
      <c r="D26" s="24" t="s">
        <v>43</v>
      </c>
      <c r="E26" s="6">
        <v>2</v>
      </c>
      <c r="F26" s="6">
        <v>1</v>
      </c>
      <c r="G26" s="6" t="s">
        <v>78</v>
      </c>
      <c r="H26" s="5"/>
      <c r="I26" s="5"/>
    </row>
    <row r="27" spans="1:9" x14ac:dyDescent="0.3">
      <c r="A27" s="15" t="s">
        <v>284</v>
      </c>
      <c r="B27" s="25" t="s">
        <v>278</v>
      </c>
      <c r="C27" s="9" t="s">
        <v>285</v>
      </c>
      <c r="D27" s="24" t="s">
        <v>43</v>
      </c>
      <c r="E27" s="10">
        <v>2</v>
      </c>
      <c r="F27" s="10">
        <v>0.5</v>
      </c>
      <c r="G27" s="10" t="s">
        <v>78</v>
      </c>
      <c r="H27" s="9"/>
      <c r="I27" s="9"/>
    </row>
    <row r="28" spans="1:9" x14ac:dyDescent="0.3">
      <c r="A28" s="22" t="s">
        <v>286</v>
      </c>
      <c r="B28" s="23" t="s">
        <v>278</v>
      </c>
      <c r="C28" s="5" t="s">
        <v>287</v>
      </c>
      <c r="D28" s="24" t="s">
        <v>43</v>
      </c>
      <c r="E28" s="6">
        <v>2</v>
      </c>
      <c r="F28" s="6">
        <v>0.5</v>
      </c>
      <c r="G28" s="6" t="s">
        <v>78</v>
      </c>
      <c r="H28" s="5"/>
      <c r="I28" s="5"/>
    </row>
    <row r="29" spans="1:9" x14ac:dyDescent="0.3">
      <c r="A29" s="15" t="s">
        <v>288</v>
      </c>
      <c r="B29" s="25" t="s">
        <v>289</v>
      </c>
      <c r="C29" s="9" t="s">
        <v>290</v>
      </c>
      <c r="D29" s="26" t="s">
        <v>119</v>
      </c>
      <c r="E29" s="10">
        <v>3</v>
      </c>
      <c r="F29" s="10">
        <v>1</v>
      </c>
      <c r="G29" s="10" t="s">
        <v>78</v>
      </c>
      <c r="H29" s="9"/>
      <c r="I29" s="9"/>
    </row>
    <row r="30" spans="1:9" x14ac:dyDescent="0.3">
      <c r="A30" s="22" t="s">
        <v>291</v>
      </c>
      <c r="B30" s="23" t="s">
        <v>289</v>
      </c>
      <c r="C30" s="5" t="s">
        <v>292</v>
      </c>
      <c r="D30" s="26" t="s">
        <v>119</v>
      </c>
      <c r="E30" s="6">
        <v>3</v>
      </c>
      <c r="F30" s="6">
        <v>0.5</v>
      </c>
      <c r="G30" s="6" t="s">
        <v>78</v>
      </c>
      <c r="H30" s="5"/>
      <c r="I30" s="5"/>
    </row>
    <row r="31" spans="1:9" x14ac:dyDescent="0.3">
      <c r="A31" s="15" t="s">
        <v>293</v>
      </c>
      <c r="B31" s="25" t="s">
        <v>294</v>
      </c>
      <c r="C31" s="9" t="s">
        <v>295</v>
      </c>
      <c r="D31" s="26" t="s">
        <v>119</v>
      </c>
      <c r="E31" s="10">
        <v>3</v>
      </c>
      <c r="F31" s="10">
        <v>1</v>
      </c>
      <c r="G31" s="10" t="s">
        <v>78</v>
      </c>
      <c r="H31" s="9"/>
      <c r="I31" s="9"/>
    </row>
    <row r="32" spans="1:9" x14ac:dyDescent="0.3">
      <c r="A32" s="22" t="s">
        <v>296</v>
      </c>
      <c r="B32" s="23" t="s">
        <v>294</v>
      </c>
      <c r="C32" s="5" t="s">
        <v>297</v>
      </c>
      <c r="D32" s="26" t="s">
        <v>119</v>
      </c>
      <c r="E32" s="6">
        <v>3</v>
      </c>
      <c r="F32" s="6">
        <v>1</v>
      </c>
      <c r="G32" s="6" t="s">
        <v>78</v>
      </c>
      <c r="H32" s="5"/>
      <c r="I32" s="5"/>
    </row>
    <row r="33" spans="1:9" x14ac:dyDescent="0.3">
      <c r="A33" s="15" t="s">
        <v>298</v>
      </c>
      <c r="B33" s="25" t="s">
        <v>294</v>
      </c>
      <c r="C33" s="9" t="s">
        <v>299</v>
      </c>
      <c r="D33" s="26" t="s">
        <v>119</v>
      </c>
      <c r="E33" s="10">
        <v>3</v>
      </c>
      <c r="F33" s="10">
        <v>0.5</v>
      </c>
      <c r="G33" s="10" t="s">
        <v>78</v>
      </c>
      <c r="H33" s="9"/>
      <c r="I33" s="9"/>
    </row>
    <row r="34" spans="1:9" x14ac:dyDescent="0.3">
      <c r="A34" s="22" t="s">
        <v>300</v>
      </c>
      <c r="B34" s="23" t="s">
        <v>301</v>
      </c>
      <c r="C34" s="5" t="s">
        <v>302</v>
      </c>
      <c r="D34" s="26" t="s">
        <v>119</v>
      </c>
      <c r="E34" s="6">
        <v>3</v>
      </c>
      <c r="F34" s="6">
        <v>1</v>
      </c>
      <c r="G34" s="6" t="s">
        <v>78</v>
      </c>
      <c r="H34" s="5"/>
      <c r="I34" s="5"/>
    </row>
    <row r="35" spans="1:9" x14ac:dyDescent="0.3">
      <c r="A35" s="15" t="s">
        <v>303</v>
      </c>
      <c r="B35" s="25" t="s">
        <v>301</v>
      </c>
      <c r="C35" s="9" t="s">
        <v>304</v>
      </c>
      <c r="D35" s="26" t="s">
        <v>119</v>
      </c>
      <c r="E35" s="10">
        <v>3</v>
      </c>
      <c r="F35" s="10">
        <v>0.5</v>
      </c>
      <c r="G35" s="10" t="s">
        <v>78</v>
      </c>
      <c r="H35" s="9"/>
      <c r="I35" s="9"/>
    </row>
    <row r="36" spans="1:9" x14ac:dyDescent="0.3">
      <c r="A36" s="22" t="s">
        <v>305</v>
      </c>
      <c r="B36" s="23" t="s">
        <v>306</v>
      </c>
      <c r="C36" s="5" t="s">
        <v>307</v>
      </c>
      <c r="D36" s="26" t="s">
        <v>119</v>
      </c>
      <c r="E36" s="6">
        <v>3</v>
      </c>
      <c r="F36" s="6">
        <v>1</v>
      </c>
      <c r="G36" s="6" t="s">
        <v>78</v>
      </c>
      <c r="H36" s="5"/>
      <c r="I36" s="5"/>
    </row>
    <row r="37" spans="1:9" x14ac:dyDescent="0.3">
      <c r="A37" s="15" t="s">
        <v>308</v>
      </c>
      <c r="B37" s="25" t="s">
        <v>306</v>
      </c>
      <c r="C37" s="9" t="s">
        <v>309</v>
      </c>
      <c r="D37" s="26" t="s">
        <v>119</v>
      </c>
      <c r="E37" s="10">
        <v>3</v>
      </c>
      <c r="F37" s="10">
        <v>1</v>
      </c>
      <c r="G37" s="10" t="s">
        <v>78</v>
      </c>
      <c r="H37" s="9"/>
      <c r="I37" s="9"/>
    </row>
    <row r="38" spans="1:9" x14ac:dyDescent="0.3">
      <c r="A38" s="22" t="s">
        <v>310</v>
      </c>
      <c r="B38" s="23" t="s">
        <v>137</v>
      </c>
      <c r="C38" s="5" t="s">
        <v>138</v>
      </c>
      <c r="D38" s="24" t="s">
        <v>43</v>
      </c>
      <c r="E38" s="6">
        <v>3</v>
      </c>
      <c r="F38" s="6">
        <v>1</v>
      </c>
      <c r="G38" s="6" t="s">
        <v>78</v>
      </c>
      <c r="H38" s="5"/>
      <c r="I38" s="5"/>
    </row>
    <row r="39" spans="1:9" x14ac:dyDescent="0.3">
      <c r="A39" s="15" t="s">
        <v>311</v>
      </c>
      <c r="B39" s="25" t="s">
        <v>137</v>
      </c>
      <c r="C39" s="9" t="s">
        <v>140</v>
      </c>
      <c r="D39" s="24" t="s">
        <v>43</v>
      </c>
      <c r="E39" s="10">
        <v>3</v>
      </c>
      <c r="F39" s="10">
        <v>2</v>
      </c>
      <c r="G39" s="10" t="s">
        <v>78</v>
      </c>
      <c r="H39" s="9"/>
      <c r="I39" s="9"/>
    </row>
    <row r="41" spans="1:9" x14ac:dyDescent="0.3">
      <c r="C41" s="27" t="s">
        <v>143</v>
      </c>
      <c r="F41" s="28">
        <f>SUM(F2:F39)</f>
        <v>34.5</v>
      </c>
    </row>
    <row r="42" spans="1:9" x14ac:dyDescent="0.3">
      <c r="C42" s="27" t="s">
        <v>144</v>
      </c>
      <c r="F42" s="28">
        <f>SUMIF(G2:G39,"Feito",F2:F39)</f>
        <v>0</v>
      </c>
    </row>
  </sheetData>
  <autoFilter ref="A1:I39" xr:uid="{00000000-0009-0000-0000-000003000000}"/>
  <dataValidations count="1">
    <dataValidation type="list" allowBlank="1" sqref="G2:G39" xr:uid="{00000000-0002-0000-0300-000000000000}">
      <formula1>"Backlog,A Fazer,Fazendo,Em Review,Feito"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3" width="48" customWidth="1"/>
    <col min="4" max="4" width="10" customWidth="1"/>
    <col min="5" max="5" width="7" customWidth="1"/>
    <col min="6" max="6" width="10" customWidth="1"/>
    <col min="7" max="7" width="12" customWidth="1"/>
    <col min="8" max="8" width="16" customWidth="1"/>
    <col min="9" max="9" width="28" customWidth="1"/>
  </cols>
  <sheetData>
    <row r="1" spans="1:9" ht="26.4" x14ac:dyDescent="0.3">
      <c r="A1" s="31" t="s">
        <v>31</v>
      </c>
      <c r="B1" s="31" t="s">
        <v>32</v>
      </c>
      <c r="C1" s="31" t="s">
        <v>33</v>
      </c>
      <c r="D1" s="31" t="s">
        <v>34</v>
      </c>
      <c r="E1" s="31" t="s">
        <v>35</v>
      </c>
      <c r="F1" s="31" t="s">
        <v>36</v>
      </c>
      <c r="G1" s="31" t="s">
        <v>37</v>
      </c>
      <c r="H1" s="31" t="s">
        <v>38</v>
      </c>
      <c r="I1" s="31" t="s">
        <v>39</v>
      </c>
    </row>
    <row r="2" spans="1:9" x14ac:dyDescent="0.3">
      <c r="A2" s="22" t="s">
        <v>312</v>
      </c>
      <c r="B2" s="23" t="s">
        <v>313</v>
      </c>
      <c r="C2" s="5" t="s">
        <v>314</v>
      </c>
      <c r="D2" s="24" t="s">
        <v>43</v>
      </c>
      <c r="E2" s="6">
        <v>1</v>
      </c>
      <c r="F2" s="6">
        <v>1</v>
      </c>
      <c r="G2" s="6" t="s">
        <v>44</v>
      </c>
      <c r="H2" s="5"/>
      <c r="I2" s="5"/>
    </row>
    <row r="3" spans="1:9" x14ac:dyDescent="0.3">
      <c r="A3" s="15" t="s">
        <v>315</v>
      </c>
      <c r="B3" s="25" t="s">
        <v>313</v>
      </c>
      <c r="C3" s="9" t="s">
        <v>316</v>
      </c>
      <c r="D3" s="24" t="s">
        <v>43</v>
      </c>
      <c r="E3" s="10">
        <v>1</v>
      </c>
      <c r="F3" s="10">
        <v>1</v>
      </c>
      <c r="G3" s="10" t="s">
        <v>44</v>
      </c>
      <c r="H3" s="9"/>
      <c r="I3" s="9"/>
    </row>
    <row r="4" spans="1:9" x14ac:dyDescent="0.3">
      <c r="A4" s="22" t="s">
        <v>317</v>
      </c>
      <c r="B4" s="23" t="s">
        <v>313</v>
      </c>
      <c r="C4" s="5" t="s">
        <v>318</v>
      </c>
      <c r="D4" s="24" t="s">
        <v>43</v>
      </c>
      <c r="E4" s="6">
        <v>1</v>
      </c>
      <c r="F4" s="6">
        <v>1.5</v>
      </c>
      <c r="G4" s="6" t="s">
        <v>44</v>
      </c>
      <c r="H4" s="5"/>
      <c r="I4" s="5"/>
    </row>
    <row r="5" spans="1:9" x14ac:dyDescent="0.3">
      <c r="A5" s="15" t="s">
        <v>319</v>
      </c>
      <c r="B5" s="25" t="s">
        <v>313</v>
      </c>
      <c r="C5" s="9" t="s">
        <v>320</v>
      </c>
      <c r="D5" s="24" t="s">
        <v>43</v>
      </c>
      <c r="E5" s="10">
        <v>1</v>
      </c>
      <c r="F5" s="10">
        <v>1</v>
      </c>
      <c r="G5" s="10" t="s">
        <v>44</v>
      </c>
      <c r="H5" s="9"/>
      <c r="I5" s="9"/>
    </row>
    <row r="6" spans="1:9" x14ac:dyDescent="0.3">
      <c r="A6" s="22" t="s">
        <v>321</v>
      </c>
      <c r="B6" s="23" t="s">
        <v>313</v>
      </c>
      <c r="C6" s="5" t="s">
        <v>322</v>
      </c>
      <c r="D6" s="24" t="s">
        <v>43</v>
      </c>
      <c r="E6" s="6">
        <v>1</v>
      </c>
      <c r="F6" s="6">
        <v>0.5</v>
      </c>
      <c r="G6" s="6" t="s">
        <v>44</v>
      </c>
      <c r="H6" s="5"/>
      <c r="I6" s="5"/>
    </row>
    <row r="7" spans="1:9" x14ac:dyDescent="0.3">
      <c r="A7" s="15" t="s">
        <v>323</v>
      </c>
      <c r="B7" s="25" t="s">
        <v>313</v>
      </c>
      <c r="C7" s="9" t="s">
        <v>324</v>
      </c>
      <c r="D7" s="24" t="s">
        <v>43</v>
      </c>
      <c r="E7" s="10">
        <v>1</v>
      </c>
      <c r="F7" s="10">
        <v>1</v>
      </c>
      <c r="G7" s="10" t="s">
        <v>44</v>
      </c>
      <c r="H7" s="9"/>
      <c r="I7" s="9"/>
    </row>
    <row r="8" spans="1:9" x14ac:dyDescent="0.3">
      <c r="A8" s="22" t="s">
        <v>325</v>
      </c>
      <c r="B8" s="23" t="s">
        <v>326</v>
      </c>
      <c r="C8" s="5" t="s">
        <v>327</v>
      </c>
      <c r="D8" s="24" t="s">
        <v>43</v>
      </c>
      <c r="E8" s="6">
        <v>2</v>
      </c>
      <c r="F8" s="6">
        <v>0.5</v>
      </c>
      <c r="G8" s="6" t="s">
        <v>78</v>
      </c>
      <c r="H8" s="5"/>
      <c r="I8" s="5"/>
    </row>
    <row r="9" spans="1:9" x14ac:dyDescent="0.3">
      <c r="A9" s="15" t="s">
        <v>328</v>
      </c>
      <c r="B9" s="25" t="s">
        <v>326</v>
      </c>
      <c r="C9" s="9" t="s">
        <v>329</v>
      </c>
      <c r="D9" s="24" t="s">
        <v>43</v>
      </c>
      <c r="E9" s="10">
        <v>2</v>
      </c>
      <c r="F9" s="10">
        <v>0.5</v>
      </c>
      <c r="G9" s="10" t="s">
        <v>78</v>
      </c>
      <c r="H9" s="9"/>
      <c r="I9" s="9"/>
    </row>
    <row r="10" spans="1:9" x14ac:dyDescent="0.3">
      <c r="A10" s="22" t="s">
        <v>330</v>
      </c>
      <c r="B10" s="23" t="s">
        <v>326</v>
      </c>
      <c r="C10" s="5" t="s">
        <v>331</v>
      </c>
      <c r="D10" s="24" t="s">
        <v>43</v>
      </c>
      <c r="E10" s="6">
        <v>2</v>
      </c>
      <c r="F10" s="6">
        <v>1</v>
      </c>
      <c r="G10" s="6" t="s">
        <v>78</v>
      </c>
      <c r="H10" s="5"/>
      <c r="I10" s="5"/>
    </row>
    <row r="11" spans="1:9" x14ac:dyDescent="0.3">
      <c r="A11" s="15" t="s">
        <v>332</v>
      </c>
      <c r="B11" s="25" t="s">
        <v>326</v>
      </c>
      <c r="C11" s="9" t="s">
        <v>333</v>
      </c>
      <c r="D11" s="24" t="s">
        <v>43</v>
      </c>
      <c r="E11" s="10">
        <v>2</v>
      </c>
      <c r="F11" s="10">
        <v>1.5</v>
      </c>
      <c r="G11" s="10" t="s">
        <v>78</v>
      </c>
      <c r="H11" s="9"/>
      <c r="I11" s="9"/>
    </row>
    <row r="12" spans="1:9" x14ac:dyDescent="0.3">
      <c r="A12" s="22" t="s">
        <v>334</v>
      </c>
      <c r="B12" s="23" t="s">
        <v>326</v>
      </c>
      <c r="C12" s="5" t="s">
        <v>335</v>
      </c>
      <c r="D12" s="24" t="s">
        <v>43</v>
      </c>
      <c r="E12" s="6">
        <v>2</v>
      </c>
      <c r="F12" s="6">
        <v>1</v>
      </c>
      <c r="G12" s="6" t="s">
        <v>78</v>
      </c>
      <c r="H12" s="5"/>
      <c r="I12" s="5"/>
    </row>
    <row r="13" spans="1:9" x14ac:dyDescent="0.3">
      <c r="A13" s="15" t="s">
        <v>336</v>
      </c>
      <c r="B13" s="25" t="s">
        <v>326</v>
      </c>
      <c r="C13" s="9" t="s">
        <v>337</v>
      </c>
      <c r="D13" s="24" t="s">
        <v>43</v>
      </c>
      <c r="E13" s="10">
        <v>2</v>
      </c>
      <c r="F13" s="10">
        <v>1</v>
      </c>
      <c r="G13" s="10" t="s">
        <v>78</v>
      </c>
      <c r="H13" s="9"/>
      <c r="I13" s="9"/>
    </row>
    <row r="14" spans="1:9" x14ac:dyDescent="0.3">
      <c r="A14" s="22" t="s">
        <v>338</v>
      </c>
      <c r="B14" s="23" t="s">
        <v>339</v>
      </c>
      <c r="C14" s="5" t="s">
        <v>340</v>
      </c>
      <c r="D14" s="24" t="s">
        <v>43</v>
      </c>
      <c r="E14" s="6">
        <v>2</v>
      </c>
      <c r="F14" s="6">
        <v>1</v>
      </c>
      <c r="G14" s="6" t="s">
        <v>78</v>
      </c>
      <c r="H14" s="5"/>
      <c r="I14" s="5"/>
    </row>
    <row r="15" spans="1:9" x14ac:dyDescent="0.3">
      <c r="A15" s="15" t="s">
        <v>341</v>
      </c>
      <c r="B15" s="25" t="s">
        <v>339</v>
      </c>
      <c r="C15" s="9" t="s">
        <v>342</v>
      </c>
      <c r="D15" s="24" t="s">
        <v>43</v>
      </c>
      <c r="E15" s="10">
        <v>2</v>
      </c>
      <c r="F15" s="10">
        <v>1</v>
      </c>
      <c r="G15" s="10" t="s">
        <v>78</v>
      </c>
      <c r="H15" s="9"/>
      <c r="I15" s="9"/>
    </row>
    <row r="16" spans="1:9" x14ac:dyDescent="0.3">
      <c r="A16" s="22" t="s">
        <v>343</v>
      </c>
      <c r="B16" s="23" t="s">
        <v>339</v>
      </c>
      <c r="C16" s="5" t="s">
        <v>344</v>
      </c>
      <c r="D16" s="24" t="s">
        <v>43</v>
      </c>
      <c r="E16" s="6">
        <v>2</v>
      </c>
      <c r="F16" s="6">
        <v>1</v>
      </c>
      <c r="G16" s="6" t="s">
        <v>78</v>
      </c>
      <c r="H16" s="5"/>
      <c r="I16" s="5"/>
    </row>
    <row r="17" spans="1:9" x14ac:dyDescent="0.3">
      <c r="A17" s="15" t="s">
        <v>345</v>
      </c>
      <c r="B17" s="25" t="s">
        <v>346</v>
      </c>
      <c r="C17" s="9" t="s">
        <v>347</v>
      </c>
      <c r="D17" s="24" t="s">
        <v>43</v>
      </c>
      <c r="E17" s="10">
        <v>2</v>
      </c>
      <c r="F17" s="10">
        <v>0.5</v>
      </c>
      <c r="G17" s="10" t="s">
        <v>78</v>
      </c>
      <c r="H17" s="9"/>
      <c r="I17" s="9"/>
    </row>
    <row r="18" spans="1:9" x14ac:dyDescent="0.3">
      <c r="A18" s="22" t="s">
        <v>348</v>
      </c>
      <c r="B18" s="23" t="s">
        <v>346</v>
      </c>
      <c r="C18" s="5" t="s">
        <v>349</v>
      </c>
      <c r="D18" s="24" t="s">
        <v>43</v>
      </c>
      <c r="E18" s="6">
        <v>2</v>
      </c>
      <c r="F18" s="6">
        <v>1</v>
      </c>
      <c r="G18" s="6" t="s">
        <v>78</v>
      </c>
      <c r="H18" s="5"/>
      <c r="I18" s="5"/>
    </row>
    <row r="19" spans="1:9" x14ac:dyDescent="0.3">
      <c r="A19" s="15" t="s">
        <v>350</v>
      </c>
      <c r="B19" s="25" t="s">
        <v>351</v>
      </c>
      <c r="C19" s="9" t="s">
        <v>352</v>
      </c>
      <c r="D19" s="24" t="s">
        <v>43</v>
      </c>
      <c r="E19" s="10">
        <v>2</v>
      </c>
      <c r="F19" s="10">
        <v>1</v>
      </c>
      <c r="G19" s="10" t="s">
        <v>78</v>
      </c>
      <c r="H19" s="9"/>
      <c r="I19" s="9"/>
    </row>
    <row r="20" spans="1:9" x14ac:dyDescent="0.3">
      <c r="A20" s="22" t="s">
        <v>353</v>
      </c>
      <c r="B20" s="23" t="s">
        <v>351</v>
      </c>
      <c r="C20" s="5" t="s">
        <v>354</v>
      </c>
      <c r="D20" s="24" t="s">
        <v>43</v>
      </c>
      <c r="E20" s="6">
        <v>2</v>
      </c>
      <c r="F20" s="6">
        <v>1</v>
      </c>
      <c r="G20" s="6" t="s">
        <v>78</v>
      </c>
      <c r="H20" s="5"/>
      <c r="I20" s="5"/>
    </row>
    <row r="21" spans="1:9" x14ac:dyDescent="0.3">
      <c r="A21" s="15" t="s">
        <v>355</v>
      </c>
      <c r="B21" s="25" t="s">
        <v>351</v>
      </c>
      <c r="C21" s="9" t="s">
        <v>356</v>
      </c>
      <c r="D21" s="24" t="s">
        <v>43</v>
      </c>
      <c r="E21" s="10">
        <v>2</v>
      </c>
      <c r="F21" s="10">
        <v>1</v>
      </c>
      <c r="G21" s="10" t="s">
        <v>78</v>
      </c>
      <c r="H21" s="9"/>
      <c r="I21" s="9"/>
    </row>
    <row r="22" spans="1:9" x14ac:dyDescent="0.3">
      <c r="A22" s="22" t="s">
        <v>357</v>
      </c>
      <c r="B22" s="23" t="s">
        <v>351</v>
      </c>
      <c r="C22" s="5" t="s">
        <v>358</v>
      </c>
      <c r="D22" s="24" t="s">
        <v>43</v>
      </c>
      <c r="E22" s="6">
        <v>2</v>
      </c>
      <c r="F22" s="6">
        <v>1</v>
      </c>
      <c r="G22" s="6" t="s">
        <v>78</v>
      </c>
      <c r="H22" s="5"/>
      <c r="I22" s="5"/>
    </row>
    <row r="23" spans="1:9" x14ac:dyDescent="0.3">
      <c r="A23" s="15" t="s">
        <v>359</v>
      </c>
      <c r="B23" s="25" t="s">
        <v>351</v>
      </c>
      <c r="C23" s="9" t="s">
        <v>360</v>
      </c>
      <c r="D23" s="24" t="s">
        <v>43</v>
      </c>
      <c r="E23" s="10">
        <v>2</v>
      </c>
      <c r="F23" s="10">
        <v>0.5</v>
      </c>
      <c r="G23" s="10" t="s">
        <v>78</v>
      </c>
      <c r="H23" s="9"/>
      <c r="I23" s="9"/>
    </row>
    <row r="24" spans="1:9" x14ac:dyDescent="0.3">
      <c r="A24" s="22" t="s">
        <v>361</v>
      </c>
      <c r="B24" s="23" t="s">
        <v>362</v>
      </c>
      <c r="C24" s="5" t="s">
        <v>363</v>
      </c>
      <c r="D24" s="24" t="s">
        <v>43</v>
      </c>
      <c r="E24" s="6">
        <v>2</v>
      </c>
      <c r="F24" s="6">
        <v>1</v>
      </c>
      <c r="G24" s="6" t="s">
        <v>78</v>
      </c>
      <c r="H24" s="5"/>
      <c r="I24" s="5"/>
    </row>
    <row r="25" spans="1:9" x14ac:dyDescent="0.3">
      <c r="A25" s="15" t="s">
        <v>364</v>
      </c>
      <c r="B25" s="25" t="s">
        <v>362</v>
      </c>
      <c r="C25" s="9" t="s">
        <v>365</v>
      </c>
      <c r="D25" s="24" t="s">
        <v>43</v>
      </c>
      <c r="E25" s="10">
        <v>2</v>
      </c>
      <c r="F25" s="10">
        <v>1</v>
      </c>
      <c r="G25" s="10" t="s">
        <v>78</v>
      </c>
      <c r="H25" s="9"/>
      <c r="I25" s="9"/>
    </row>
    <row r="26" spans="1:9" x14ac:dyDescent="0.3">
      <c r="A26" s="22" t="s">
        <v>366</v>
      </c>
      <c r="B26" s="23" t="s">
        <v>367</v>
      </c>
      <c r="C26" s="5" t="s">
        <v>368</v>
      </c>
      <c r="D26" s="26" t="s">
        <v>119</v>
      </c>
      <c r="E26" s="6">
        <v>3</v>
      </c>
      <c r="F26" s="6">
        <v>1</v>
      </c>
      <c r="G26" s="6" t="s">
        <v>78</v>
      </c>
      <c r="H26" s="5"/>
      <c r="I26" s="5"/>
    </row>
    <row r="27" spans="1:9" x14ac:dyDescent="0.3">
      <c r="A27" s="15" t="s">
        <v>369</v>
      </c>
      <c r="B27" s="25" t="s">
        <v>367</v>
      </c>
      <c r="C27" s="9" t="s">
        <v>370</v>
      </c>
      <c r="D27" s="26" t="s">
        <v>119</v>
      </c>
      <c r="E27" s="10">
        <v>3</v>
      </c>
      <c r="F27" s="10">
        <v>1</v>
      </c>
      <c r="G27" s="10" t="s">
        <v>78</v>
      </c>
      <c r="H27" s="9"/>
      <c r="I27" s="9"/>
    </row>
    <row r="28" spans="1:9" x14ac:dyDescent="0.3">
      <c r="A28" s="22" t="s">
        <v>371</v>
      </c>
      <c r="B28" s="23" t="s">
        <v>367</v>
      </c>
      <c r="C28" s="5" t="s">
        <v>372</v>
      </c>
      <c r="D28" s="26" t="s">
        <v>119</v>
      </c>
      <c r="E28" s="6">
        <v>3</v>
      </c>
      <c r="F28" s="6">
        <v>0.5</v>
      </c>
      <c r="G28" s="6" t="s">
        <v>78</v>
      </c>
      <c r="H28" s="5"/>
      <c r="I28" s="5"/>
    </row>
    <row r="29" spans="1:9" x14ac:dyDescent="0.3">
      <c r="A29" s="15" t="s">
        <v>373</v>
      </c>
      <c r="B29" s="25" t="s">
        <v>374</v>
      </c>
      <c r="C29" s="9" t="s">
        <v>295</v>
      </c>
      <c r="D29" s="26" t="s">
        <v>119</v>
      </c>
      <c r="E29" s="10">
        <v>3</v>
      </c>
      <c r="F29" s="10">
        <v>0.5</v>
      </c>
      <c r="G29" s="10" t="s">
        <v>78</v>
      </c>
      <c r="H29" s="9"/>
      <c r="I29" s="9"/>
    </row>
    <row r="30" spans="1:9" x14ac:dyDescent="0.3">
      <c r="A30" s="22" t="s">
        <v>375</v>
      </c>
      <c r="B30" s="23" t="s">
        <v>374</v>
      </c>
      <c r="C30" s="5" t="s">
        <v>376</v>
      </c>
      <c r="D30" s="26" t="s">
        <v>119</v>
      </c>
      <c r="E30" s="6">
        <v>3</v>
      </c>
      <c r="F30" s="6">
        <v>1</v>
      </c>
      <c r="G30" s="6" t="s">
        <v>78</v>
      </c>
      <c r="H30" s="5"/>
      <c r="I30" s="5"/>
    </row>
    <row r="31" spans="1:9" x14ac:dyDescent="0.3">
      <c r="A31" s="15" t="s">
        <v>377</v>
      </c>
      <c r="B31" s="25" t="s">
        <v>374</v>
      </c>
      <c r="C31" s="9" t="s">
        <v>378</v>
      </c>
      <c r="D31" s="26" t="s">
        <v>119</v>
      </c>
      <c r="E31" s="10">
        <v>3</v>
      </c>
      <c r="F31" s="10">
        <v>0.5</v>
      </c>
      <c r="G31" s="10" t="s">
        <v>78</v>
      </c>
      <c r="H31" s="9"/>
      <c r="I31" s="9"/>
    </row>
    <row r="32" spans="1:9" x14ac:dyDescent="0.3">
      <c r="A32" s="22" t="s">
        <v>379</v>
      </c>
      <c r="B32" s="23" t="s">
        <v>380</v>
      </c>
      <c r="C32" s="5" t="s">
        <v>381</v>
      </c>
      <c r="D32" s="26" t="s">
        <v>119</v>
      </c>
      <c r="E32" s="6">
        <v>3</v>
      </c>
      <c r="F32" s="6">
        <v>1</v>
      </c>
      <c r="G32" s="6" t="s">
        <v>78</v>
      </c>
      <c r="H32" s="5"/>
      <c r="I32" s="5"/>
    </row>
    <row r="33" spans="1:9" x14ac:dyDescent="0.3">
      <c r="A33" s="15" t="s">
        <v>382</v>
      </c>
      <c r="B33" s="25" t="s">
        <v>380</v>
      </c>
      <c r="C33" s="9" t="s">
        <v>383</v>
      </c>
      <c r="D33" s="26" t="s">
        <v>119</v>
      </c>
      <c r="E33" s="10">
        <v>3</v>
      </c>
      <c r="F33" s="10">
        <v>0.5</v>
      </c>
      <c r="G33" s="10" t="s">
        <v>78</v>
      </c>
      <c r="H33" s="9"/>
      <c r="I33" s="9"/>
    </row>
    <row r="34" spans="1:9" x14ac:dyDescent="0.3">
      <c r="A34" s="22" t="s">
        <v>384</v>
      </c>
      <c r="B34" s="23" t="s">
        <v>380</v>
      </c>
      <c r="C34" s="5" t="s">
        <v>128</v>
      </c>
      <c r="D34" s="26" t="s">
        <v>119</v>
      </c>
      <c r="E34" s="6">
        <v>3</v>
      </c>
      <c r="F34" s="6">
        <v>0.5</v>
      </c>
      <c r="G34" s="6" t="s">
        <v>78</v>
      </c>
      <c r="H34" s="5"/>
      <c r="I34" s="5"/>
    </row>
    <row r="35" spans="1:9" x14ac:dyDescent="0.3">
      <c r="A35" s="15" t="s">
        <v>385</v>
      </c>
      <c r="B35" s="25" t="s">
        <v>137</v>
      </c>
      <c r="C35" s="9" t="s">
        <v>138</v>
      </c>
      <c r="D35" s="24" t="s">
        <v>43</v>
      </c>
      <c r="E35" s="10">
        <v>3</v>
      </c>
      <c r="F35" s="10">
        <v>1</v>
      </c>
      <c r="G35" s="10" t="s">
        <v>78</v>
      </c>
      <c r="H35" s="9"/>
      <c r="I35" s="9"/>
    </row>
    <row r="36" spans="1:9" x14ac:dyDescent="0.3">
      <c r="A36" s="22" t="s">
        <v>386</v>
      </c>
      <c r="B36" s="23" t="s">
        <v>137</v>
      </c>
      <c r="C36" s="5" t="s">
        <v>140</v>
      </c>
      <c r="D36" s="24" t="s">
        <v>43</v>
      </c>
      <c r="E36" s="6">
        <v>3</v>
      </c>
      <c r="F36" s="6">
        <v>2</v>
      </c>
      <c r="G36" s="6" t="s">
        <v>78</v>
      </c>
      <c r="H36" s="5"/>
      <c r="I36" s="5"/>
    </row>
    <row r="37" spans="1:9" x14ac:dyDescent="0.3">
      <c r="A37" s="15" t="s">
        <v>387</v>
      </c>
      <c r="B37" s="25" t="s">
        <v>137</v>
      </c>
      <c r="C37" s="9" t="s">
        <v>388</v>
      </c>
      <c r="D37" s="24" t="s">
        <v>43</v>
      </c>
      <c r="E37" s="10">
        <v>3</v>
      </c>
      <c r="F37" s="10">
        <v>0.5</v>
      </c>
      <c r="G37" s="10" t="s">
        <v>78</v>
      </c>
      <c r="H37" s="9"/>
      <c r="I37" s="9"/>
    </row>
    <row r="39" spans="1:9" x14ac:dyDescent="0.3">
      <c r="C39" s="27" t="s">
        <v>143</v>
      </c>
      <c r="F39" s="28">
        <f>SUM(F2:F37)</f>
        <v>32.5</v>
      </c>
    </row>
    <row r="40" spans="1:9" x14ac:dyDescent="0.3">
      <c r="C40" s="27" t="s">
        <v>144</v>
      </c>
      <c r="F40" s="28">
        <f>SUMIF(G2:G37,"Feito",F2:F37)</f>
        <v>0</v>
      </c>
    </row>
  </sheetData>
  <autoFilter ref="A1:I37" xr:uid="{00000000-0009-0000-0000-000004000000}"/>
  <dataValidations count="1">
    <dataValidation type="list" allowBlank="1" sqref="G2:G37" xr:uid="{00000000-0002-0000-0400-000000000000}">
      <formula1>"Backlog,A Fazer,Fazendo,Em Review,Feito"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3" width="48" customWidth="1"/>
    <col min="4" max="4" width="10" customWidth="1"/>
    <col min="5" max="5" width="7" customWidth="1"/>
    <col min="6" max="6" width="10" customWidth="1"/>
    <col min="7" max="7" width="12" customWidth="1"/>
    <col min="8" max="8" width="16" customWidth="1"/>
    <col min="9" max="9" width="28" customWidth="1"/>
  </cols>
  <sheetData>
    <row r="1" spans="1:9" ht="26.4" x14ac:dyDescent="0.3">
      <c r="A1" s="32" t="s">
        <v>31</v>
      </c>
      <c r="B1" s="32" t="s">
        <v>32</v>
      </c>
      <c r="C1" s="32" t="s">
        <v>33</v>
      </c>
      <c r="D1" s="32" t="s">
        <v>34</v>
      </c>
      <c r="E1" s="32" t="s">
        <v>35</v>
      </c>
      <c r="F1" s="32" t="s">
        <v>36</v>
      </c>
      <c r="G1" s="32" t="s">
        <v>37</v>
      </c>
      <c r="H1" s="32" t="s">
        <v>38</v>
      </c>
      <c r="I1" s="32" t="s">
        <v>39</v>
      </c>
    </row>
    <row r="2" spans="1:9" x14ac:dyDescent="0.3">
      <c r="A2" s="22" t="s">
        <v>389</v>
      </c>
      <c r="B2" s="23" t="s">
        <v>390</v>
      </c>
      <c r="C2" s="5" t="s">
        <v>147</v>
      </c>
      <c r="D2" s="24" t="s">
        <v>43</v>
      </c>
      <c r="E2" s="6">
        <v>1</v>
      </c>
      <c r="F2" s="6">
        <v>0.5</v>
      </c>
      <c r="G2" s="6" t="s">
        <v>44</v>
      </c>
      <c r="H2" s="5"/>
      <c r="I2" s="5"/>
    </row>
    <row r="3" spans="1:9" x14ac:dyDescent="0.3">
      <c r="A3" s="15" t="s">
        <v>391</v>
      </c>
      <c r="B3" s="25" t="s">
        <v>390</v>
      </c>
      <c r="C3" s="9" t="s">
        <v>392</v>
      </c>
      <c r="D3" s="24" t="s">
        <v>43</v>
      </c>
      <c r="E3" s="10">
        <v>1</v>
      </c>
      <c r="F3" s="10">
        <v>1.5</v>
      </c>
      <c r="G3" s="10" t="s">
        <v>44</v>
      </c>
      <c r="H3" s="9"/>
      <c r="I3" s="9"/>
    </row>
    <row r="4" spans="1:9" x14ac:dyDescent="0.3">
      <c r="A4" s="22" t="s">
        <v>393</v>
      </c>
      <c r="B4" s="23" t="s">
        <v>390</v>
      </c>
      <c r="C4" s="5" t="s">
        <v>394</v>
      </c>
      <c r="D4" s="24" t="s">
        <v>43</v>
      </c>
      <c r="E4" s="6">
        <v>1</v>
      </c>
      <c r="F4" s="6">
        <v>1</v>
      </c>
      <c r="G4" s="6" t="s">
        <v>44</v>
      </c>
      <c r="H4" s="5"/>
      <c r="I4" s="5"/>
    </row>
    <row r="5" spans="1:9" x14ac:dyDescent="0.3">
      <c r="A5" s="15" t="s">
        <v>395</v>
      </c>
      <c r="B5" s="25" t="s">
        <v>390</v>
      </c>
      <c r="C5" s="9" t="s">
        <v>396</v>
      </c>
      <c r="D5" s="24" t="s">
        <v>43</v>
      </c>
      <c r="E5" s="10">
        <v>1</v>
      </c>
      <c r="F5" s="10">
        <v>1</v>
      </c>
      <c r="G5" s="10" t="s">
        <v>44</v>
      </c>
      <c r="H5" s="9"/>
      <c r="I5" s="9"/>
    </row>
    <row r="6" spans="1:9" x14ac:dyDescent="0.3">
      <c r="A6" s="22" t="s">
        <v>397</v>
      </c>
      <c r="B6" s="23" t="s">
        <v>390</v>
      </c>
      <c r="C6" s="5" t="s">
        <v>398</v>
      </c>
      <c r="D6" s="24" t="s">
        <v>43</v>
      </c>
      <c r="E6" s="6">
        <v>1</v>
      </c>
      <c r="F6" s="6">
        <v>1</v>
      </c>
      <c r="G6" s="6" t="s">
        <v>44</v>
      </c>
      <c r="H6" s="5"/>
      <c r="I6" s="5"/>
    </row>
    <row r="7" spans="1:9" x14ac:dyDescent="0.3">
      <c r="A7" s="15" t="s">
        <v>399</v>
      </c>
      <c r="B7" s="25" t="s">
        <v>400</v>
      </c>
      <c r="C7" s="9" t="s">
        <v>401</v>
      </c>
      <c r="D7" s="24" t="s">
        <v>43</v>
      </c>
      <c r="E7" s="10">
        <v>1</v>
      </c>
      <c r="F7" s="10">
        <v>1</v>
      </c>
      <c r="G7" s="10" t="s">
        <v>44</v>
      </c>
      <c r="H7" s="9"/>
      <c r="I7" s="9"/>
    </row>
    <row r="8" spans="1:9" x14ac:dyDescent="0.3">
      <c r="A8" s="22" t="s">
        <v>402</v>
      </c>
      <c r="B8" s="23" t="s">
        <v>400</v>
      </c>
      <c r="C8" s="5" t="s">
        <v>403</v>
      </c>
      <c r="D8" s="24" t="s">
        <v>43</v>
      </c>
      <c r="E8" s="6">
        <v>1</v>
      </c>
      <c r="F8" s="6">
        <v>1</v>
      </c>
      <c r="G8" s="6" t="s">
        <v>44</v>
      </c>
      <c r="H8" s="5"/>
      <c r="I8" s="5"/>
    </row>
    <row r="9" spans="1:9" x14ac:dyDescent="0.3">
      <c r="A9" s="15" t="s">
        <v>404</v>
      </c>
      <c r="B9" s="25" t="s">
        <v>400</v>
      </c>
      <c r="C9" s="9" t="s">
        <v>405</v>
      </c>
      <c r="D9" s="24" t="s">
        <v>43</v>
      </c>
      <c r="E9" s="10">
        <v>1</v>
      </c>
      <c r="F9" s="10">
        <v>0.5</v>
      </c>
      <c r="G9" s="10" t="s">
        <v>44</v>
      </c>
      <c r="H9" s="9"/>
      <c r="I9" s="9"/>
    </row>
    <row r="10" spans="1:9" x14ac:dyDescent="0.3">
      <c r="A10" s="22" t="s">
        <v>406</v>
      </c>
      <c r="B10" s="23" t="s">
        <v>407</v>
      </c>
      <c r="C10" s="5" t="s">
        <v>408</v>
      </c>
      <c r="D10" s="24" t="s">
        <v>43</v>
      </c>
      <c r="E10" s="6">
        <v>2</v>
      </c>
      <c r="F10" s="6">
        <v>0.5</v>
      </c>
      <c r="G10" s="6" t="s">
        <v>78</v>
      </c>
      <c r="H10" s="5"/>
      <c r="I10" s="5"/>
    </row>
    <row r="11" spans="1:9" x14ac:dyDescent="0.3">
      <c r="A11" s="15" t="s">
        <v>409</v>
      </c>
      <c r="B11" s="25" t="s">
        <v>407</v>
      </c>
      <c r="C11" s="9" t="s">
        <v>410</v>
      </c>
      <c r="D11" s="24" t="s">
        <v>43</v>
      </c>
      <c r="E11" s="10">
        <v>2</v>
      </c>
      <c r="F11" s="10">
        <v>1</v>
      </c>
      <c r="G11" s="10" t="s">
        <v>78</v>
      </c>
      <c r="H11" s="9"/>
      <c r="I11" s="9"/>
    </row>
    <row r="12" spans="1:9" x14ac:dyDescent="0.3">
      <c r="A12" s="22" t="s">
        <v>411</v>
      </c>
      <c r="B12" s="23" t="s">
        <v>407</v>
      </c>
      <c r="C12" s="5" t="s">
        <v>412</v>
      </c>
      <c r="D12" s="24" t="s">
        <v>43</v>
      </c>
      <c r="E12" s="6">
        <v>2</v>
      </c>
      <c r="F12" s="6">
        <v>1</v>
      </c>
      <c r="G12" s="6" t="s">
        <v>78</v>
      </c>
      <c r="H12" s="5"/>
      <c r="I12" s="5"/>
    </row>
    <row r="13" spans="1:9" x14ac:dyDescent="0.3">
      <c r="A13" s="15" t="s">
        <v>413</v>
      </c>
      <c r="B13" s="25" t="s">
        <v>407</v>
      </c>
      <c r="C13" s="9" t="s">
        <v>414</v>
      </c>
      <c r="D13" s="24" t="s">
        <v>43</v>
      </c>
      <c r="E13" s="10">
        <v>2</v>
      </c>
      <c r="F13" s="10">
        <v>1.5</v>
      </c>
      <c r="G13" s="10" t="s">
        <v>78</v>
      </c>
      <c r="H13" s="9"/>
      <c r="I13" s="9"/>
    </row>
    <row r="14" spans="1:9" x14ac:dyDescent="0.3">
      <c r="A14" s="22" t="s">
        <v>415</v>
      </c>
      <c r="B14" s="23" t="s">
        <v>407</v>
      </c>
      <c r="C14" s="5" t="s">
        <v>416</v>
      </c>
      <c r="D14" s="24" t="s">
        <v>43</v>
      </c>
      <c r="E14" s="6">
        <v>2</v>
      </c>
      <c r="F14" s="6">
        <v>0.5</v>
      </c>
      <c r="G14" s="6" t="s">
        <v>78</v>
      </c>
      <c r="H14" s="5"/>
      <c r="I14" s="5"/>
    </row>
    <row r="15" spans="1:9" x14ac:dyDescent="0.3">
      <c r="A15" s="15" t="s">
        <v>417</v>
      </c>
      <c r="B15" s="25" t="s">
        <v>418</v>
      </c>
      <c r="C15" s="9" t="s">
        <v>419</v>
      </c>
      <c r="D15" s="24" t="s">
        <v>43</v>
      </c>
      <c r="E15" s="10">
        <v>2</v>
      </c>
      <c r="F15" s="10">
        <v>1</v>
      </c>
      <c r="G15" s="10" t="s">
        <v>78</v>
      </c>
      <c r="H15" s="9"/>
      <c r="I15" s="9"/>
    </row>
    <row r="16" spans="1:9" x14ac:dyDescent="0.3">
      <c r="A16" s="22" t="s">
        <v>420</v>
      </c>
      <c r="B16" s="23" t="s">
        <v>418</v>
      </c>
      <c r="C16" s="5" t="s">
        <v>421</v>
      </c>
      <c r="D16" s="24" t="s">
        <v>43</v>
      </c>
      <c r="E16" s="6">
        <v>2</v>
      </c>
      <c r="F16" s="6">
        <v>1</v>
      </c>
      <c r="G16" s="6" t="s">
        <v>78</v>
      </c>
      <c r="H16" s="5"/>
      <c r="I16" s="5"/>
    </row>
    <row r="17" spans="1:9" x14ac:dyDescent="0.3">
      <c r="A17" s="15" t="s">
        <v>422</v>
      </c>
      <c r="B17" s="25" t="s">
        <v>418</v>
      </c>
      <c r="C17" s="9" t="s">
        <v>423</v>
      </c>
      <c r="D17" s="24" t="s">
        <v>43</v>
      </c>
      <c r="E17" s="10">
        <v>2</v>
      </c>
      <c r="F17" s="10">
        <v>1</v>
      </c>
      <c r="G17" s="10" t="s">
        <v>78</v>
      </c>
      <c r="H17" s="9"/>
      <c r="I17" s="9"/>
    </row>
    <row r="18" spans="1:9" x14ac:dyDescent="0.3">
      <c r="A18" s="22" t="s">
        <v>424</v>
      </c>
      <c r="B18" s="23" t="s">
        <v>418</v>
      </c>
      <c r="C18" s="5" t="s">
        <v>425</v>
      </c>
      <c r="D18" s="24" t="s">
        <v>43</v>
      </c>
      <c r="E18" s="6">
        <v>2</v>
      </c>
      <c r="F18" s="6">
        <v>1</v>
      </c>
      <c r="G18" s="6" t="s">
        <v>78</v>
      </c>
      <c r="H18" s="5"/>
      <c r="I18" s="5"/>
    </row>
    <row r="19" spans="1:9" x14ac:dyDescent="0.3">
      <c r="A19" s="15" t="s">
        <v>426</v>
      </c>
      <c r="B19" s="25" t="s">
        <v>427</v>
      </c>
      <c r="C19" s="9" t="s">
        <v>428</v>
      </c>
      <c r="D19" s="24" t="s">
        <v>43</v>
      </c>
      <c r="E19" s="10">
        <v>2</v>
      </c>
      <c r="F19" s="10">
        <v>1</v>
      </c>
      <c r="G19" s="10" t="s">
        <v>78</v>
      </c>
      <c r="H19" s="9"/>
      <c r="I19" s="9"/>
    </row>
    <row r="20" spans="1:9" x14ac:dyDescent="0.3">
      <c r="A20" s="22" t="s">
        <v>429</v>
      </c>
      <c r="B20" s="23" t="s">
        <v>427</v>
      </c>
      <c r="C20" s="5" t="s">
        <v>430</v>
      </c>
      <c r="D20" s="24" t="s">
        <v>43</v>
      </c>
      <c r="E20" s="6">
        <v>2</v>
      </c>
      <c r="F20" s="6">
        <v>0.5</v>
      </c>
      <c r="G20" s="6" t="s">
        <v>78</v>
      </c>
      <c r="H20" s="5"/>
      <c r="I20" s="5"/>
    </row>
    <row r="21" spans="1:9" x14ac:dyDescent="0.3">
      <c r="A21" s="15" t="s">
        <v>431</v>
      </c>
      <c r="B21" s="25" t="s">
        <v>427</v>
      </c>
      <c r="C21" s="9" t="s">
        <v>432</v>
      </c>
      <c r="D21" s="24" t="s">
        <v>43</v>
      </c>
      <c r="E21" s="10">
        <v>2</v>
      </c>
      <c r="F21" s="10">
        <v>1</v>
      </c>
      <c r="G21" s="10" t="s">
        <v>78</v>
      </c>
      <c r="H21" s="9"/>
      <c r="I21" s="9"/>
    </row>
    <row r="22" spans="1:9" x14ac:dyDescent="0.3">
      <c r="A22" s="22" t="s">
        <v>433</v>
      </c>
      <c r="B22" s="23" t="s">
        <v>427</v>
      </c>
      <c r="C22" s="5" t="s">
        <v>434</v>
      </c>
      <c r="D22" s="24" t="s">
        <v>43</v>
      </c>
      <c r="E22" s="6">
        <v>2</v>
      </c>
      <c r="F22" s="6">
        <v>1</v>
      </c>
      <c r="G22" s="6" t="s">
        <v>78</v>
      </c>
      <c r="H22" s="5"/>
      <c r="I22" s="5"/>
    </row>
    <row r="23" spans="1:9" x14ac:dyDescent="0.3">
      <c r="A23" s="15" t="s">
        <v>435</v>
      </c>
      <c r="B23" s="25" t="s">
        <v>436</v>
      </c>
      <c r="C23" s="9" t="s">
        <v>437</v>
      </c>
      <c r="D23" s="24" t="s">
        <v>43</v>
      </c>
      <c r="E23" s="10">
        <v>2</v>
      </c>
      <c r="F23" s="10">
        <v>1</v>
      </c>
      <c r="G23" s="10" t="s">
        <v>78</v>
      </c>
      <c r="H23" s="9"/>
      <c r="I23" s="9"/>
    </row>
    <row r="24" spans="1:9" x14ac:dyDescent="0.3">
      <c r="A24" s="22" t="s">
        <v>438</v>
      </c>
      <c r="B24" s="23" t="s">
        <v>436</v>
      </c>
      <c r="C24" s="5" t="s">
        <v>439</v>
      </c>
      <c r="D24" s="24" t="s">
        <v>43</v>
      </c>
      <c r="E24" s="6">
        <v>2</v>
      </c>
      <c r="F24" s="6">
        <v>0.5</v>
      </c>
      <c r="G24" s="6" t="s">
        <v>78</v>
      </c>
      <c r="H24" s="5"/>
      <c r="I24" s="5"/>
    </row>
    <row r="25" spans="1:9" x14ac:dyDescent="0.3">
      <c r="A25" s="15" t="s">
        <v>440</v>
      </c>
      <c r="B25" s="25" t="s">
        <v>436</v>
      </c>
      <c r="C25" s="9" t="s">
        <v>97</v>
      </c>
      <c r="D25" s="24" t="s">
        <v>43</v>
      </c>
      <c r="E25" s="10">
        <v>2</v>
      </c>
      <c r="F25" s="10">
        <v>0.5</v>
      </c>
      <c r="G25" s="10" t="s">
        <v>78</v>
      </c>
      <c r="H25" s="9"/>
      <c r="I25" s="9"/>
    </row>
    <row r="26" spans="1:9" x14ac:dyDescent="0.3">
      <c r="A26" s="22" t="s">
        <v>441</v>
      </c>
      <c r="B26" s="23" t="s">
        <v>442</v>
      </c>
      <c r="C26" s="5" t="s">
        <v>443</v>
      </c>
      <c r="D26" s="24" t="s">
        <v>43</v>
      </c>
      <c r="E26" s="6">
        <v>2</v>
      </c>
      <c r="F26" s="6">
        <v>1</v>
      </c>
      <c r="G26" s="6" t="s">
        <v>78</v>
      </c>
      <c r="H26" s="5"/>
      <c r="I26" s="5"/>
    </row>
    <row r="27" spans="1:9" x14ac:dyDescent="0.3">
      <c r="A27" s="15" t="s">
        <v>444</v>
      </c>
      <c r="B27" s="25" t="s">
        <v>442</v>
      </c>
      <c r="C27" s="9" t="s">
        <v>445</v>
      </c>
      <c r="D27" s="24" t="s">
        <v>43</v>
      </c>
      <c r="E27" s="10">
        <v>2</v>
      </c>
      <c r="F27" s="10">
        <v>1</v>
      </c>
      <c r="G27" s="10" t="s">
        <v>78</v>
      </c>
      <c r="H27" s="9"/>
      <c r="I27" s="9"/>
    </row>
    <row r="28" spans="1:9" x14ac:dyDescent="0.3">
      <c r="A28" s="22" t="s">
        <v>446</v>
      </c>
      <c r="B28" s="23" t="s">
        <v>447</v>
      </c>
      <c r="C28" s="5" t="s">
        <v>448</v>
      </c>
      <c r="D28" s="26" t="s">
        <v>119</v>
      </c>
      <c r="E28" s="6">
        <v>3</v>
      </c>
      <c r="F28" s="6">
        <v>1</v>
      </c>
      <c r="G28" s="6" t="s">
        <v>78</v>
      </c>
      <c r="H28" s="5"/>
      <c r="I28" s="5"/>
    </row>
    <row r="29" spans="1:9" x14ac:dyDescent="0.3">
      <c r="A29" s="15" t="s">
        <v>449</v>
      </c>
      <c r="B29" s="25" t="s">
        <v>447</v>
      </c>
      <c r="C29" s="9" t="s">
        <v>292</v>
      </c>
      <c r="D29" s="26" t="s">
        <v>119</v>
      </c>
      <c r="E29" s="10">
        <v>3</v>
      </c>
      <c r="F29" s="10">
        <v>0.5</v>
      </c>
      <c r="G29" s="10" t="s">
        <v>78</v>
      </c>
      <c r="H29" s="9"/>
      <c r="I29" s="9"/>
    </row>
    <row r="30" spans="1:9" x14ac:dyDescent="0.3">
      <c r="A30" s="22" t="s">
        <v>450</v>
      </c>
      <c r="B30" s="23" t="s">
        <v>451</v>
      </c>
      <c r="C30" s="5" t="s">
        <v>295</v>
      </c>
      <c r="D30" s="26" t="s">
        <v>119</v>
      </c>
      <c r="E30" s="6">
        <v>3</v>
      </c>
      <c r="F30" s="6">
        <v>0.5</v>
      </c>
      <c r="G30" s="6" t="s">
        <v>78</v>
      </c>
      <c r="H30" s="5"/>
      <c r="I30" s="5"/>
    </row>
    <row r="31" spans="1:9" x14ac:dyDescent="0.3">
      <c r="A31" s="15" t="s">
        <v>452</v>
      </c>
      <c r="B31" s="25" t="s">
        <v>451</v>
      </c>
      <c r="C31" s="9" t="s">
        <v>453</v>
      </c>
      <c r="D31" s="26" t="s">
        <v>119</v>
      </c>
      <c r="E31" s="10">
        <v>3</v>
      </c>
      <c r="F31" s="10">
        <v>1</v>
      </c>
      <c r="G31" s="10" t="s">
        <v>78</v>
      </c>
      <c r="H31" s="9"/>
      <c r="I31" s="9"/>
    </row>
    <row r="32" spans="1:9" x14ac:dyDescent="0.3">
      <c r="A32" s="22" t="s">
        <v>454</v>
      </c>
      <c r="B32" s="23" t="s">
        <v>451</v>
      </c>
      <c r="C32" s="5" t="s">
        <v>455</v>
      </c>
      <c r="D32" s="26" t="s">
        <v>119</v>
      </c>
      <c r="E32" s="6">
        <v>3</v>
      </c>
      <c r="F32" s="6">
        <v>0.5</v>
      </c>
      <c r="G32" s="6" t="s">
        <v>78</v>
      </c>
      <c r="H32" s="5"/>
      <c r="I32" s="5"/>
    </row>
    <row r="33" spans="1:9" x14ac:dyDescent="0.3">
      <c r="A33" s="15" t="s">
        <v>456</v>
      </c>
      <c r="B33" s="25" t="s">
        <v>137</v>
      </c>
      <c r="C33" s="9" t="s">
        <v>138</v>
      </c>
      <c r="D33" s="24" t="s">
        <v>43</v>
      </c>
      <c r="E33" s="10">
        <v>3</v>
      </c>
      <c r="F33" s="10">
        <v>1</v>
      </c>
      <c r="G33" s="10" t="s">
        <v>78</v>
      </c>
      <c r="H33" s="9"/>
      <c r="I33" s="9"/>
    </row>
    <row r="34" spans="1:9" x14ac:dyDescent="0.3">
      <c r="A34" s="22" t="s">
        <v>457</v>
      </c>
      <c r="B34" s="23" t="s">
        <v>137</v>
      </c>
      <c r="C34" s="5" t="s">
        <v>140</v>
      </c>
      <c r="D34" s="24" t="s">
        <v>43</v>
      </c>
      <c r="E34" s="6">
        <v>3</v>
      </c>
      <c r="F34" s="6">
        <v>2</v>
      </c>
      <c r="G34" s="6" t="s">
        <v>78</v>
      </c>
      <c r="H34" s="5"/>
      <c r="I34" s="5"/>
    </row>
    <row r="35" spans="1:9" x14ac:dyDescent="0.3">
      <c r="A35" s="15" t="s">
        <v>458</v>
      </c>
      <c r="B35" s="25" t="s">
        <v>137</v>
      </c>
      <c r="C35" s="9" t="s">
        <v>459</v>
      </c>
      <c r="D35" s="24" t="s">
        <v>43</v>
      </c>
      <c r="E35" s="10">
        <v>3</v>
      </c>
      <c r="F35" s="10">
        <v>1</v>
      </c>
      <c r="G35" s="10" t="s">
        <v>78</v>
      </c>
      <c r="H35" s="9"/>
      <c r="I35" s="9"/>
    </row>
    <row r="37" spans="1:9" x14ac:dyDescent="0.3">
      <c r="C37" s="27" t="s">
        <v>143</v>
      </c>
      <c r="F37" s="28">
        <f>SUM(F2:F35)</f>
        <v>31</v>
      </c>
    </row>
    <row r="38" spans="1:9" x14ac:dyDescent="0.3">
      <c r="C38" s="27" t="s">
        <v>144</v>
      </c>
      <c r="F38" s="28">
        <f>SUMIF(G2:G35,"Feito",F2:F35)</f>
        <v>0</v>
      </c>
    </row>
  </sheetData>
  <autoFilter ref="A1:I35" xr:uid="{00000000-0009-0000-0000-000005000000}"/>
  <dataValidations count="1">
    <dataValidation type="list" allowBlank="1" sqref="G2:G35" xr:uid="{00000000-0002-0000-0500-000000000000}">
      <formula1>"Backlog,A Fazer,Fazendo,Em Review,Feito"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3" width="48" customWidth="1"/>
    <col min="4" max="4" width="10" customWidth="1"/>
    <col min="5" max="5" width="7" customWidth="1"/>
    <col min="6" max="6" width="10" customWidth="1"/>
    <col min="7" max="7" width="12" customWidth="1"/>
    <col min="8" max="8" width="16" customWidth="1"/>
    <col min="9" max="9" width="28" customWidth="1"/>
  </cols>
  <sheetData>
    <row r="1" spans="1:9" ht="26.4" x14ac:dyDescent="0.3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</row>
    <row r="2" spans="1:9" x14ac:dyDescent="0.3">
      <c r="A2" s="22" t="s">
        <v>460</v>
      </c>
      <c r="B2" s="23" t="s">
        <v>461</v>
      </c>
      <c r="C2" s="5" t="s">
        <v>147</v>
      </c>
      <c r="D2" s="24" t="s">
        <v>43</v>
      </c>
      <c r="E2" s="6">
        <v>1</v>
      </c>
      <c r="F2" s="6">
        <v>0.5</v>
      </c>
      <c r="G2" s="6" t="s">
        <v>44</v>
      </c>
      <c r="H2" s="5"/>
      <c r="I2" s="5"/>
    </row>
    <row r="3" spans="1:9" x14ac:dyDescent="0.3">
      <c r="A3" s="15" t="s">
        <v>462</v>
      </c>
      <c r="B3" s="25" t="s">
        <v>461</v>
      </c>
      <c r="C3" s="9" t="s">
        <v>392</v>
      </c>
      <c r="D3" s="24" t="s">
        <v>43</v>
      </c>
      <c r="E3" s="10">
        <v>1</v>
      </c>
      <c r="F3" s="10">
        <v>1.5</v>
      </c>
      <c r="G3" s="10" t="s">
        <v>44</v>
      </c>
      <c r="H3" s="9"/>
      <c r="I3" s="9"/>
    </row>
    <row r="4" spans="1:9" x14ac:dyDescent="0.3">
      <c r="A4" s="22" t="s">
        <v>463</v>
      </c>
      <c r="B4" s="23" t="s">
        <v>461</v>
      </c>
      <c r="C4" s="5" t="s">
        <v>394</v>
      </c>
      <c r="D4" s="24" t="s">
        <v>43</v>
      </c>
      <c r="E4" s="6">
        <v>1</v>
      </c>
      <c r="F4" s="6">
        <v>1</v>
      </c>
      <c r="G4" s="6" t="s">
        <v>44</v>
      </c>
      <c r="H4" s="5"/>
      <c r="I4" s="5"/>
    </row>
    <row r="5" spans="1:9" x14ac:dyDescent="0.3">
      <c r="A5" s="15" t="s">
        <v>464</v>
      </c>
      <c r="B5" s="25" t="s">
        <v>461</v>
      </c>
      <c r="C5" s="9" t="s">
        <v>237</v>
      </c>
      <c r="D5" s="24" t="s">
        <v>43</v>
      </c>
      <c r="E5" s="10">
        <v>1</v>
      </c>
      <c r="F5" s="10">
        <v>1.5</v>
      </c>
      <c r="G5" s="10" t="s">
        <v>44</v>
      </c>
      <c r="H5" s="9"/>
      <c r="I5" s="9"/>
    </row>
    <row r="6" spans="1:9" x14ac:dyDescent="0.3">
      <c r="A6" s="22" t="s">
        <v>465</v>
      </c>
      <c r="B6" s="23" t="s">
        <v>466</v>
      </c>
      <c r="C6" s="5" t="s">
        <v>467</v>
      </c>
      <c r="D6" s="24" t="s">
        <v>43</v>
      </c>
      <c r="E6" s="6">
        <v>1</v>
      </c>
      <c r="F6" s="6">
        <v>0.5</v>
      </c>
      <c r="G6" s="6" t="s">
        <v>44</v>
      </c>
      <c r="H6" s="5"/>
      <c r="I6" s="5"/>
    </row>
    <row r="7" spans="1:9" x14ac:dyDescent="0.3">
      <c r="A7" s="15" t="s">
        <v>468</v>
      </c>
      <c r="B7" s="25" t="s">
        <v>466</v>
      </c>
      <c r="C7" s="9" t="s">
        <v>469</v>
      </c>
      <c r="D7" s="24" t="s">
        <v>43</v>
      </c>
      <c r="E7" s="10">
        <v>1</v>
      </c>
      <c r="F7" s="10">
        <v>1</v>
      </c>
      <c r="G7" s="10" t="s">
        <v>44</v>
      </c>
      <c r="H7" s="9"/>
      <c r="I7" s="9"/>
    </row>
    <row r="8" spans="1:9" x14ac:dyDescent="0.3">
      <c r="A8" s="22" t="s">
        <v>470</v>
      </c>
      <c r="B8" s="23" t="s">
        <v>466</v>
      </c>
      <c r="C8" s="5" t="s">
        <v>471</v>
      </c>
      <c r="D8" s="24" t="s">
        <v>43</v>
      </c>
      <c r="E8" s="6">
        <v>1</v>
      </c>
      <c r="F8" s="6">
        <v>1</v>
      </c>
      <c r="G8" s="6" t="s">
        <v>44</v>
      </c>
      <c r="H8" s="5"/>
      <c r="I8" s="5"/>
    </row>
    <row r="9" spans="1:9" x14ac:dyDescent="0.3">
      <c r="A9" s="15" t="s">
        <v>472</v>
      </c>
      <c r="B9" s="25" t="s">
        <v>466</v>
      </c>
      <c r="C9" s="9" t="s">
        <v>473</v>
      </c>
      <c r="D9" s="24" t="s">
        <v>43</v>
      </c>
      <c r="E9" s="10">
        <v>1</v>
      </c>
      <c r="F9" s="10">
        <v>0.5</v>
      </c>
      <c r="G9" s="10" t="s">
        <v>44</v>
      </c>
      <c r="H9" s="9"/>
      <c r="I9" s="9"/>
    </row>
    <row r="10" spans="1:9" x14ac:dyDescent="0.3">
      <c r="A10" s="22" t="s">
        <v>474</v>
      </c>
      <c r="B10" s="23" t="s">
        <v>475</v>
      </c>
      <c r="C10" s="5" t="s">
        <v>476</v>
      </c>
      <c r="D10" s="24" t="s">
        <v>43</v>
      </c>
      <c r="E10" s="6">
        <v>2</v>
      </c>
      <c r="F10" s="6">
        <v>0.5</v>
      </c>
      <c r="G10" s="6" t="s">
        <v>78</v>
      </c>
      <c r="H10" s="5"/>
      <c r="I10" s="5"/>
    </row>
    <row r="11" spans="1:9" x14ac:dyDescent="0.3">
      <c r="A11" s="15" t="s">
        <v>477</v>
      </c>
      <c r="B11" s="25" t="s">
        <v>475</v>
      </c>
      <c r="C11" s="9" t="s">
        <v>478</v>
      </c>
      <c r="D11" s="24" t="s">
        <v>43</v>
      </c>
      <c r="E11" s="10">
        <v>2</v>
      </c>
      <c r="F11" s="10">
        <v>1</v>
      </c>
      <c r="G11" s="10" t="s">
        <v>78</v>
      </c>
      <c r="H11" s="9"/>
      <c r="I11" s="9"/>
    </row>
    <row r="12" spans="1:9" x14ac:dyDescent="0.3">
      <c r="A12" s="22" t="s">
        <v>479</v>
      </c>
      <c r="B12" s="23" t="s">
        <v>475</v>
      </c>
      <c r="C12" s="5" t="s">
        <v>480</v>
      </c>
      <c r="D12" s="24" t="s">
        <v>43</v>
      </c>
      <c r="E12" s="6">
        <v>2</v>
      </c>
      <c r="F12" s="6">
        <v>1</v>
      </c>
      <c r="G12" s="6" t="s">
        <v>78</v>
      </c>
      <c r="H12" s="5"/>
      <c r="I12" s="5"/>
    </row>
    <row r="13" spans="1:9" x14ac:dyDescent="0.3">
      <c r="A13" s="15" t="s">
        <v>481</v>
      </c>
      <c r="B13" s="25" t="s">
        <v>475</v>
      </c>
      <c r="C13" s="9" t="s">
        <v>482</v>
      </c>
      <c r="D13" s="24" t="s">
        <v>43</v>
      </c>
      <c r="E13" s="10">
        <v>2</v>
      </c>
      <c r="F13" s="10">
        <v>1.5</v>
      </c>
      <c r="G13" s="10" t="s">
        <v>78</v>
      </c>
      <c r="H13" s="9"/>
      <c r="I13" s="9"/>
    </row>
    <row r="14" spans="1:9" x14ac:dyDescent="0.3">
      <c r="A14" s="22" t="s">
        <v>483</v>
      </c>
      <c r="B14" s="23" t="s">
        <v>475</v>
      </c>
      <c r="C14" s="5" t="s">
        <v>484</v>
      </c>
      <c r="D14" s="24" t="s">
        <v>43</v>
      </c>
      <c r="E14" s="6">
        <v>2</v>
      </c>
      <c r="F14" s="6">
        <v>0.5</v>
      </c>
      <c r="G14" s="6" t="s">
        <v>78</v>
      </c>
      <c r="H14" s="5"/>
      <c r="I14" s="5"/>
    </row>
    <row r="15" spans="1:9" x14ac:dyDescent="0.3">
      <c r="A15" s="15" t="s">
        <v>485</v>
      </c>
      <c r="B15" s="25" t="s">
        <v>475</v>
      </c>
      <c r="C15" s="9" t="s">
        <v>486</v>
      </c>
      <c r="D15" s="24" t="s">
        <v>43</v>
      </c>
      <c r="E15" s="10">
        <v>2</v>
      </c>
      <c r="F15" s="10">
        <v>1</v>
      </c>
      <c r="G15" s="10" t="s">
        <v>78</v>
      </c>
      <c r="H15" s="9"/>
      <c r="I15" s="9"/>
    </row>
    <row r="16" spans="1:9" x14ac:dyDescent="0.3">
      <c r="A16" s="22" t="s">
        <v>487</v>
      </c>
      <c r="B16" s="23" t="s">
        <v>488</v>
      </c>
      <c r="C16" s="5" t="s">
        <v>489</v>
      </c>
      <c r="D16" s="24" t="s">
        <v>43</v>
      </c>
      <c r="E16" s="6">
        <v>2</v>
      </c>
      <c r="F16" s="6">
        <v>1</v>
      </c>
      <c r="G16" s="6" t="s">
        <v>78</v>
      </c>
      <c r="H16" s="5"/>
      <c r="I16" s="5"/>
    </row>
    <row r="17" spans="1:9" x14ac:dyDescent="0.3">
      <c r="A17" s="15" t="s">
        <v>490</v>
      </c>
      <c r="B17" s="25" t="s">
        <v>488</v>
      </c>
      <c r="C17" s="9" t="s">
        <v>491</v>
      </c>
      <c r="D17" s="24" t="s">
        <v>43</v>
      </c>
      <c r="E17" s="10">
        <v>2</v>
      </c>
      <c r="F17" s="10">
        <v>1.5</v>
      </c>
      <c r="G17" s="10" t="s">
        <v>78</v>
      </c>
      <c r="H17" s="9"/>
      <c r="I17" s="9"/>
    </row>
    <row r="18" spans="1:9" x14ac:dyDescent="0.3">
      <c r="A18" s="22" t="s">
        <v>492</v>
      </c>
      <c r="B18" s="23" t="s">
        <v>488</v>
      </c>
      <c r="C18" s="5" t="s">
        <v>493</v>
      </c>
      <c r="D18" s="24" t="s">
        <v>43</v>
      </c>
      <c r="E18" s="6">
        <v>2</v>
      </c>
      <c r="F18" s="6">
        <v>1</v>
      </c>
      <c r="G18" s="6" t="s">
        <v>78</v>
      </c>
      <c r="H18" s="5"/>
      <c r="I18" s="5"/>
    </row>
    <row r="19" spans="1:9" x14ac:dyDescent="0.3">
      <c r="A19" s="15" t="s">
        <v>494</v>
      </c>
      <c r="B19" s="25" t="s">
        <v>488</v>
      </c>
      <c r="C19" s="9" t="s">
        <v>495</v>
      </c>
      <c r="D19" s="24" t="s">
        <v>43</v>
      </c>
      <c r="E19" s="10">
        <v>2</v>
      </c>
      <c r="F19" s="10">
        <v>1</v>
      </c>
      <c r="G19" s="10" t="s">
        <v>78</v>
      </c>
      <c r="H19" s="9"/>
      <c r="I19" s="9"/>
    </row>
    <row r="20" spans="1:9" x14ac:dyDescent="0.3">
      <c r="A20" s="22" t="s">
        <v>496</v>
      </c>
      <c r="B20" s="23" t="s">
        <v>488</v>
      </c>
      <c r="C20" s="5" t="s">
        <v>497</v>
      </c>
      <c r="D20" s="24" t="s">
        <v>43</v>
      </c>
      <c r="E20" s="6">
        <v>2</v>
      </c>
      <c r="F20" s="6">
        <v>0.5</v>
      </c>
      <c r="G20" s="6" t="s">
        <v>78</v>
      </c>
      <c r="H20" s="5"/>
      <c r="I20" s="5"/>
    </row>
    <row r="21" spans="1:9" x14ac:dyDescent="0.3">
      <c r="A21" s="15" t="s">
        <v>498</v>
      </c>
      <c r="B21" s="25" t="s">
        <v>499</v>
      </c>
      <c r="C21" s="9" t="s">
        <v>500</v>
      </c>
      <c r="D21" s="24" t="s">
        <v>43</v>
      </c>
      <c r="E21" s="10">
        <v>2</v>
      </c>
      <c r="F21" s="10">
        <v>1.5</v>
      </c>
      <c r="G21" s="10" t="s">
        <v>78</v>
      </c>
      <c r="H21" s="9"/>
      <c r="I21" s="9"/>
    </row>
    <row r="22" spans="1:9" x14ac:dyDescent="0.3">
      <c r="A22" s="22" t="s">
        <v>501</v>
      </c>
      <c r="B22" s="23" t="s">
        <v>499</v>
      </c>
      <c r="C22" s="5" t="s">
        <v>502</v>
      </c>
      <c r="D22" s="24" t="s">
        <v>43</v>
      </c>
      <c r="E22" s="6">
        <v>2</v>
      </c>
      <c r="F22" s="6">
        <v>0.5</v>
      </c>
      <c r="G22" s="6" t="s">
        <v>78</v>
      </c>
      <c r="H22" s="5"/>
      <c r="I22" s="5"/>
    </row>
    <row r="23" spans="1:9" x14ac:dyDescent="0.3">
      <c r="A23" s="15" t="s">
        <v>503</v>
      </c>
      <c r="B23" s="25" t="s">
        <v>499</v>
      </c>
      <c r="C23" s="9" t="s">
        <v>504</v>
      </c>
      <c r="D23" s="24" t="s">
        <v>43</v>
      </c>
      <c r="E23" s="10">
        <v>2</v>
      </c>
      <c r="F23" s="10">
        <v>1</v>
      </c>
      <c r="G23" s="10" t="s">
        <v>78</v>
      </c>
      <c r="H23" s="9"/>
      <c r="I23" s="9"/>
    </row>
    <row r="24" spans="1:9" x14ac:dyDescent="0.3">
      <c r="A24" s="22" t="s">
        <v>505</v>
      </c>
      <c r="B24" s="23" t="s">
        <v>499</v>
      </c>
      <c r="C24" s="5" t="s">
        <v>506</v>
      </c>
      <c r="D24" s="24" t="s">
        <v>43</v>
      </c>
      <c r="E24" s="6">
        <v>2</v>
      </c>
      <c r="F24" s="6">
        <v>1</v>
      </c>
      <c r="G24" s="6" t="s">
        <v>78</v>
      </c>
      <c r="H24" s="5"/>
      <c r="I24" s="5"/>
    </row>
    <row r="25" spans="1:9" x14ac:dyDescent="0.3">
      <c r="A25" s="15" t="s">
        <v>507</v>
      </c>
      <c r="B25" s="25" t="s">
        <v>499</v>
      </c>
      <c r="C25" s="9" t="s">
        <v>508</v>
      </c>
      <c r="D25" s="24" t="s">
        <v>43</v>
      </c>
      <c r="E25" s="10">
        <v>2</v>
      </c>
      <c r="F25" s="10">
        <v>1</v>
      </c>
      <c r="G25" s="10" t="s">
        <v>78</v>
      </c>
      <c r="H25" s="9"/>
      <c r="I25" s="9"/>
    </row>
    <row r="26" spans="1:9" x14ac:dyDescent="0.3">
      <c r="A26" s="22" t="s">
        <v>509</v>
      </c>
      <c r="B26" s="23" t="s">
        <v>510</v>
      </c>
      <c r="C26" s="5" t="s">
        <v>511</v>
      </c>
      <c r="D26" s="24" t="s">
        <v>43</v>
      </c>
      <c r="E26" s="6">
        <v>2</v>
      </c>
      <c r="F26" s="6">
        <v>1</v>
      </c>
      <c r="G26" s="6" t="s">
        <v>78</v>
      </c>
      <c r="H26" s="5"/>
      <c r="I26" s="5"/>
    </row>
    <row r="27" spans="1:9" x14ac:dyDescent="0.3">
      <c r="A27" s="15" t="s">
        <v>512</v>
      </c>
      <c r="B27" s="25" t="s">
        <v>510</v>
      </c>
      <c r="C27" s="9" t="s">
        <v>513</v>
      </c>
      <c r="D27" s="24" t="s">
        <v>43</v>
      </c>
      <c r="E27" s="10">
        <v>2</v>
      </c>
      <c r="F27" s="10">
        <v>1</v>
      </c>
      <c r="G27" s="10" t="s">
        <v>78</v>
      </c>
      <c r="H27" s="9"/>
      <c r="I27" s="9"/>
    </row>
    <row r="28" spans="1:9" x14ac:dyDescent="0.3">
      <c r="A28" s="22" t="s">
        <v>514</v>
      </c>
      <c r="B28" s="23" t="s">
        <v>515</v>
      </c>
      <c r="C28" s="5" t="s">
        <v>516</v>
      </c>
      <c r="D28" s="26" t="s">
        <v>119</v>
      </c>
      <c r="E28" s="6">
        <v>3</v>
      </c>
      <c r="F28" s="6">
        <v>1</v>
      </c>
      <c r="G28" s="6" t="s">
        <v>78</v>
      </c>
      <c r="H28" s="5"/>
      <c r="I28" s="5"/>
    </row>
    <row r="29" spans="1:9" x14ac:dyDescent="0.3">
      <c r="A29" s="15" t="s">
        <v>517</v>
      </c>
      <c r="B29" s="25" t="s">
        <v>515</v>
      </c>
      <c r="C29" s="9" t="s">
        <v>518</v>
      </c>
      <c r="D29" s="26" t="s">
        <v>119</v>
      </c>
      <c r="E29" s="10">
        <v>3</v>
      </c>
      <c r="F29" s="10">
        <v>1</v>
      </c>
      <c r="G29" s="10" t="s">
        <v>78</v>
      </c>
      <c r="H29" s="9"/>
      <c r="I29" s="9"/>
    </row>
    <row r="30" spans="1:9" x14ac:dyDescent="0.3">
      <c r="A30" s="22" t="s">
        <v>519</v>
      </c>
      <c r="B30" s="23" t="s">
        <v>520</v>
      </c>
      <c r="C30" s="5" t="s">
        <v>295</v>
      </c>
      <c r="D30" s="33" t="s">
        <v>521</v>
      </c>
      <c r="E30" s="6">
        <v>3</v>
      </c>
      <c r="F30" s="6">
        <v>0.5</v>
      </c>
      <c r="G30" s="6" t="s">
        <v>78</v>
      </c>
      <c r="H30" s="5"/>
      <c r="I30" s="5"/>
    </row>
    <row r="31" spans="1:9" x14ac:dyDescent="0.3">
      <c r="A31" s="15" t="s">
        <v>522</v>
      </c>
      <c r="B31" s="25" t="s">
        <v>520</v>
      </c>
      <c r="C31" s="9" t="s">
        <v>523</v>
      </c>
      <c r="D31" s="33" t="s">
        <v>521</v>
      </c>
      <c r="E31" s="10">
        <v>3</v>
      </c>
      <c r="F31" s="10">
        <v>1.5</v>
      </c>
      <c r="G31" s="10" t="s">
        <v>78</v>
      </c>
      <c r="H31" s="9"/>
      <c r="I31" s="9"/>
    </row>
    <row r="32" spans="1:9" x14ac:dyDescent="0.3">
      <c r="A32" s="22" t="s">
        <v>524</v>
      </c>
      <c r="B32" s="23" t="s">
        <v>520</v>
      </c>
      <c r="C32" s="5" t="s">
        <v>378</v>
      </c>
      <c r="D32" s="33" t="s">
        <v>521</v>
      </c>
      <c r="E32" s="6">
        <v>3</v>
      </c>
      <c r="F32" s="6">
        <v>0.5</v>
      </c>
      <c r="G32" s="6" t="s">
        <v>78</v>
      </c>
      <c r="H32" s="5"/>
      <c r="I32" s="5"/>
    </row>
    <row r="33" spans="1:9" x14ac:dyDescent="0.3">
      <c r="A33" s="15" t="s">
        <v>525</v>
      </c>
      <c r="B33" s="25" t="s">
        <v>137</v>
      </c>
      <c r="C33" s="9" t="s">
        <v>138</v>
      </c>
      <c r="D33" s="24" t="s">
        <v>43</v>
      </c>
      <c r="E33" s="10">
        <v>3</v>
      </c>
      <c r="F33" s="10">
        <v>1</v>
      </c>
      <c r="G33" s="10" t="s">
        <v>78</v>
      </c>
      <c r="H33" s="9"/>
      <c r="I33" s="9"/>
    </row>
    <row r="34" spans="1:9" x14ac:dyDescent="0.3">
      <c r="A34" s="22" t="s">
        <v>526</v>
      </c>
      <c r="B34" s="23" t="s">
        <v>137</v>
      </c>
      <c r="C34" s="5" t="s">
        <v>140</v>
      </c>
      <c r="D34" s="24" t="s">
        <v>43</v>
      </c>
      <c r="E34" s="6">
        <v>3</v>
      </c>
      <c r="F34" s="6">
        <v>2</v>
      </c>
      <c r="G34" s="6" t="s">
        <v>78</v>
      </c>
      <c r="H34" s="5"/>
      <c r="I34" s="5"/>
    </row>
    <row r="35" spans="1:9" x14ac:dyDescent="0.3">
      <c r="A35" s="15" t="s">
        <v>527</v>
      </c>
      <c r="B35" s="25" t="s">
        <v>137</v>
      </c>
      <c r="C35" s="9" t="s">
        <v>528</v>
      </c>
      <c r="D35" s="24" t="s">
        <v>43</v>
      </c>
      <c r="E35" s="10">
        <v>3</v>
      </c>
      <c r="F35" s="10">
        <v>1</v>
      </c>
      <c r="G35" s="10" t="s">
        <v>78</v>
      </c>
      <c r="H35" s="9"/>
      <c r="I35" s="9"/>
    </row>
    <row r="37" spans="1:9" x14ac:dyDescent="0.3">
      <c r="C37" s="27" t="s">
        <v>143</v>
      </c>
      <c r="F37" s="28">
        <f>SUM(F2:F35)</f>
        <v>33.5</v>
      </c>
    </row>
    <row r="38" spans="1:9" x14ac:dyDescent="0.3">
      <c r="C38" s="27" t="s">
        <v>144</v>
      </c>
      <c r="F38" s="28">
        <f>SUMIF(G2:G35,"Feito",F2:F35)</f>
        <v>0</v>
      </c>
    </row>
  </sheetData>
  <autoFilter ref="A1:I35" xr:uid="{00000000-0009-0000-0000-000006000000}"/>
  <dataValidations count="1">
    <dataValidation type="list" allowBlank="1" sqref="G2:G35" xr:uid="{00000000-0002-0000-0600-000000000000}">
      <formula1>"Backlog,A Fazer,Fazendo,Em Review,Feito"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RadarNeuro</vt:lpstr>
      <vt:lpstr>EAgoraAdulto</vt:lpstr>
      <vt:lpstr>Sincronize</vt:lpstr>
      <vt:lpstr>Anbylize</vt:lpstr>
      <vt:lpstr>Monitorizador</vt:lpstr>
      <vt:lpstr>FlowUp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Edson Angoti Jr</cp:lastModifiedBy>
  <cp:revision>0</cp:revision>
  <dcterms:created xsi:type="dcterms:W3CDTF">2026-06-10T19:58:27Z</dcterms:created>
  <dcterms:modified xsi:type="dcterms:W3CDTF">2026-06-10T20:01:24Z</dcterms:modified>
  <dc:language>en-US</dc:language>
</cp:coreProperties>
</file>