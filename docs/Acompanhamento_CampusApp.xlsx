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RadarNeuro" sheetId="2" state="visible" r:id="rId4"/>
    <sheet name="EAgoraAdulto" sheetId="3" state="visible" r:id="rId5"/>
    <sheet name="Sincronize" sheetId="4" state="visible" r:id="rId6"/>
    <sheet name="Anbylize" sheetId="5" state="visible" r:id="rId7"/>
    <sheet name="Monitorizador" sheetId="6" state="visible" r:id="rId8"/>
    <sheet name="FlowUp" sheetId="7" state="visible" r:id="rId9"/>
  </sheets>
  <definedNames>
    <definedName function="false" hidden="true" localSheetId="4" name="_xlnm._FilterDatabase" vbProcedure="false">Anbylize!$A$1:$I$47</definedName>
    <definedName function="false" hidden="true" localSheetId="2" name="_xlnm._FilterDatabase" vbProcedure="false">EAgoraAdulto!$A$1:$I$48</definedName>
    <definedName function="false" hidden="true" localSheetId="6" name="_xlnm._FilterDatabase" vbProcedure="false">FlowUp!$A$1:$I$43</definedName>
    <definedName function="false" hidden="true" localSheetId="5" name="_xlnm._FilterDatabase" vbProcedure="false">Monitorizador!$A$1:$I$43</definedName>
    <definedName function="false" hidden="true" localSheetId="1" name="_xlnm._FilterDatabase" vbProcedure="false">RadarNeuro!$A$1:$I$46</definedName>
    <definedName function="false" hidden="true" localSheetId="3" name="_xlnm._FilterDatabase" vbProcedure="false">Sincronize!$A$1:$I$49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<sst xmlns="http://schemas.openxmlformats.org/spreadsheetml/2006/main" count="1448" uniqueCount="566">
  <si>
    <t xml:space="preserve">Campus App 2025 — Painel de Acompanhamento (Turma 3DS-B)</t>
  </si>
  <si>
    <t xml:space="preserve">Desenvolvimento de Dispositivos Móveis · IFTM Campus Uberlândia · Prof. Edson Angoti Júnior</t>
  </si>
  <si>
    <t xml:space="preserve">Sprint 1 padronizado (login com Google) idêntico para todas as equipes.</t>
  </si>
  <si>
    <t xml:space="preserve">Equipe / Projeto</t>
  </si>
  <si>
    <t xml:space="preserve">Integrantes</t>
  </si>
  <si>
    <t xml:space="preserve">Total de cards</t>
  </si>
  <si>
    <t xml:space="preserve">Feito</t>
  </si>
  <si>
    <t xml:space="preserve">Fazendo</t>
  </si>
  <si>
    <t xml:space="preserve">Em Review</t>
  </si>
  <si>
    <t xml:space="preserve">A Fazer / Backlog</t>
  </si>
  <si>
    <t xml:space="preserve">% Concluído</t>
  </si>
  <si>
    <t xml:space="preserve">Aulas estimadas</t>
  </si>
  <si>
    <t xml:space="preserve">Aulas concluídas</t>
  </si>
  <si>
    <t xml:space="preserve">Radar Neurodivergente</t>
  </si>
  <si>
    <t xml:space="preserve">Ana Beatriz Ramos Del Padre (+ equipe)</t>
  </si>
  <si>
    <t xml:space="preserve">E Agora, Adulto?</t>
  </si>
  <si>
    <t xml:space="preserve">Felipe, Gabriel, Heitor, Philipe, Vitor Hugo</t>
  </si>
  <si>
    <t xml:space="preserve">Sincronize</t>
  </si>
  <si>
    <t xml:space="preserve">Alexandre, Giovana, Lara, M. Eduarda, Matheus, Rian</t>
  </si>
  <si>
    <t xml:space="preserve">Anbylize</t>
  </si>
  <si>
    <t xml:space="preserve">Luiza Brandão Nunes (+ equipe)</t>
  </si>
  <si>
    <t xml:space="preserve">Monitorizador</t>
  </si>
  <si>
    <t xml:space="preserve">Miguel Antonio Alves Gontijo (+ equipe)</t>
  </si>
  <si>
    <t xml:space="preserve">FlowUp</t>
  </si>
  <si>
    <t xml:space="preserve">Rafael Costa Fernandes (+ equipe)</t>
  </si>
  <si>
    <t xml:space="preserve">TOTAL DA TURMA</t>
  </si>
  <si>
    <t xml:space="preserve">Como usar:</t>
  </si>
  <si>
    <t xml:space="preserve">1. Cada equipe tem uma aba com todos os cards (mesmos IDs dos arquivos Kanban).</t>
  </si>
  <si>
    <t xml:space="preserve">2. Atualize só as colunas Status e Responsável nas abas — o Dashboard recalcula sozinho.</t>
  </si>
  <si>
    <t xml:space="preserve">3. Status: Backlog · A Fazer · Fazendo · Em Review · Feito (lista suspensa).</t>
  </si>
  <si>
    <t xml:space="preserve">4. Sprint: 1 = Sem. 5–6 (login, igual p/ todos) · 2 = Sem. 7–8 · 3 = Sem. 9–10.</t>
  </si>
  <si>
    <t xml:space="preserve">5. Estimativas em aulas (1 aula ≈ 50 min). Aulas concluídas somam só cards Feito.</t>
  </si>
  <si>
    <t xml:space="preserve">ID</t>
  </si>
  <si>
    <t xml:space="preserve">Issue</t>
  </si>
  <si>
    <t xml:space="preserve">Card (atividade)</t>
  </si>
  <si>
    <t xml:space="preserve">Prioridade</t>
  </si>
  <si>
    <t xml:space="preserve">Sprint</t>
  </si>
  <si>
    <t xml:space="preserve">Est. (aulas)</t>
  </si>
  <si>
    <t xml:space="preserve">Status</t>
  </si>
  <si>
    <t xml:space="preserve">Responsável</t>
  </si>
  <si>
    <t xml:space="preserve">Observações</t>
  </si>
  <si>
    <t xml:space="preserve">RND-01.1</t>
  </si>
  <si>
    <t xml:space="preserve">RND-01</t>
  </si>
  <si>
    <t xml:space="preserve">Criar projeto no console do Firebase</t>
  </si>
  <si>
    <t xml:space="preserve">M</t>
  </si>
  <si>
    <t xml:space="preserve">A Fazer</t>
  </si>
  <si>
    <t xml:space="preserve">RND-01.2</t>
  </si>
  <si>
    <t xml:space="preserve">Ativar provedor de login Google (Authentication)</t>
  </si>
  <si>
    <t xml:space="preserve">RND-01.3</t>
  </si>
  <si>
    <t xml:space="preserve">Registrar app Android + baixar google-services.json</t>
  </si>
  <si>
    <t xml:space="preserve">RND-01.4</t>
  </si>
  <si>
    <t xml:space="preserve">Gerar SHA-1 (gradlew signingReport) e cadastrar no Firebase</t>
  </si>
  <si>
    <t xml:space="preserve">RND-02.1</t>
  </si>
  <si>
    <t xml:space="preserve">RND-02</t>
  </si>
  <si>
    <t xml:space="preserve">Criar projeto Expo e abrir no VS Code</t>
  </si>
  <si>
    <t xml:space="preserve">RND-02.2</t>
  </si>
  <si>
    <t xml:space="preserve">Instalar @react-native-google-signin/google-signin</t>
  </si>
  <si>
    <t xml:space="preserve">RND-02.3</t>
  </si>
  <si>
    <t xml:space="preserve">Configurar app.json (googleServicesFile + plugin)</t>
  </si>
  <si>
    <t xml:space="preserve">RND-02.4</t>
  </si>
  <si>
    <t xml:space="preserve">Rodar expo prebuild + expo run:android</t>
  </si>
  <si>
    <t xml:space="preserve">RND-03.1</t>
  </si>
  <si>
    <t xml:space="preserve">RND-03</t>
  </si>
  <si>
    <t xml:space="preserve">Configurar GoogleSignin com webClientId</t>
  </si>
  <si>
    <t xml:space="preserve">RND-03.2</t>
  </si>
  <si>
    <t xml:space="preserve">Botão Entrar chamando GoogleSignin.signIn()</t>
  </si>
  <si>
    <t xml:space="preserve">RND-03.3</t>
  </si>
  <si>
    <t xml:space="preserve">ActivityIndicator durante o login</t>
  </si>
  <si>
    <t xml:space="preserve">RND-03.4</t>
  </si>
  <si>
    <t xml:space="preserve">Botão Sair com GoogleSignin.signOut()</t>
  </si>
  <si>
    <t xml:space="preserve">RND-04.1</t>
  </si>
  <si>
    <t xml:space="preserve">RND-04</t>
  </si>
  <si>
    <t xml:space="preserve">Renderização condicional (user ? Home : Login)</t>
  </si>
  <si>
    <t xml:space="preserve">RND-04.2</t>
  </si>
  <si>
    <t xml:space="preserve">Home exibe nome e foto do usuário</t>
  </si>
  <si>
    <t xml:space="preserve">RND-04.3</t>
  </si>
  <si>
    <t xml:space="preserve">Estado global do usuário (Context)</t>
  </si>
  <si>
    <t xml:space="preserve">RND-04.4</t>
  </si>
  <si>
    <t xml:space="preserve">Persistir sessão (mantém login ao reabrir)</t>
  </si>
  <si>
    <t xml:space="preserve">RND-05.1</t>
  </si>
  <si>
    <t xml:space="preserve">RND-05</t>
  </si>
  <si>
    <t xml:space="preserve">Construir UI da Home do aluno com botão Emergência em destaque</t>
  </si>
  <si>
    <t xml:space="preserve">Backlog</t>
  </si>
  <si>
    <t xml:space="preserve">RND-05.2</t>
  </si>
  <si>
    <t xml:space="preserve">Criar coleção `alertas` e função `dispararAlerta()`</t>
  </si>
  <si>
    <t xml:space="preserve">RND-05.3</t>
  </si>
  <si>
    <t xml:space="preserve">Construir tela `EmergenciaConfirmada` com mensagem acolhedora</t>
  </si>
  <si>
    <t xml:space="preserve">RND-05.4</t>
  </si>
  <si>
    <t xml:space="preserve">Adicionar feedback tátil/visual no acionamento (vibração + animação simples)</t>
  </si>
  <si>
    <t xml:space="preserve">RND-05.5</t>
  </si>
  <si>
    <t xml:space="preserve">Garantir acionamento em até 2 toques desde a abertura do app</t>
  </si>
  <si>
    <t xml:space="preserve">RND-06.1</t>
  </si>
  <si>
    <t xml:space="preserve">RND-06</t>
  </si>
  <si>
    <t xml:space="preserve">Construir UI do painel: FlatList de alertas abertos</t>
  </si>
  <si>
    <t xml:space="preserve">RND-06.2</t>
  </si>
  <si>
    <t xml:space="preserve">Conectar `onSnapshot` filtrando `status == "aberto"`</t>
  </si>
  <si>
    <t xml:space="preserve">RND-06.3</t>
  </si>
  <si>
    <t xml:space="preserve">Implementar botão "Marcar como atendido"</t>
  </si>
  <si>
    <t xml:space="preserve">RND-06.4</t>
  </si>
  <si>
    <t xml:space="preserve">Destacar alertas com mais de 5 min sem atendimento</t>
  </si>
  <si>
    <t xml:space="preserve">RND-06.5</t>
  </si>
  <si>
    <t xml:space="preserve">Teste integrado: aluno dispara em um celular, apoio recebe em outro</t>
  </si>
  <si>
    <t xml:space="preserve">RND-07.1</t>
  </si>
  <si>
    <t xml:space="preserve">RND-07</t>
  </si>
  <si>
    <t xml:space="preserve">Validar roteiro de acolhimento com o CAPNE (reunião + ata)</t>
  </si>
  <si>
    <t xml:space="preserve">RND-07.2</t>
  </si>
  <si>
    <t xml:space="preserve">Modelar o roteiro como array de passos (mensagem + opções de botão)</t>
  </si>
  <si>
    <t xml:space="preserve">RND-07.3</t>
  </si>
  <si>
    <t xml:space="preserve">Construir UI de conversa guiada (bolhas + botões de resposta)</t>
  </si>
  <si>
    <t xml:space="preserve">RND-07.4</t>
  </si>
  <si>
    <t xml:space="preserve">Salvar as respostas do aluno no documento do alerta</t>
  </si>
  <si>
    <t xml:space="preserve">RND-08.1</t>
  </si>
  <si>
    <t xml:space="preserve">RND-08</t>
  </si>
  <si>
    <t xml:space="preserve">Modelar coleção `conversas/{id}/mensagens` no Firestore</t>
  </si>
  <si>
    <t xml:space="preserve">RND-08.2</t>
  </si>
  <si>
    <t xml:space="preserve">Construir UI do chat (FlatList invertida + input + botão enviar)</t>
  </si>
  <si>
    <t xml:space="preserve">RND-08.3</t>
  </si>
  <si>
    <t xml:space="preserve">Conectar envio e recebimento com `onSnapshot`</t>
  </si>
  <si>
    <t xml:space="preserve">RND-08.4</t>
  </si>
  <si>
    <t xml:space="preserve">Listar conversas no painel do apoio</t>
  </si>
  <si>
    <t xml:space="preserve">RND-09.1</t>
  </si>
  <si>
    <t xml:space="preserve">RND-09</t>
  </si>
  <si>
    <t xml:space="preserve">Adicionar campos `visivelNaBusca` e `interesses[]` ao perfil</t>
  </si>
  <si>
    <t xml:space="preserve">S</t>
  </si>
  <si>
    <t xml:space="preserve">RND-09.2</t>
  </si>
  <si>
    <t xml:space="preserve">Construir tela de busca (lista de alunos visíveis + filtro por interesse)</t>
  </si>
  <si>
    <t xml:space="preserve">RND-09.3</t>
  </si>
  <si>
    <t xml:space="preserve">Conectar "Iniciar conversa" reutilizando o chat (RND-08)</t>
  </si>
  <si>
    <t xml:space="preserve">RND-10.1</t>
  </si>
  <si>
    <t xml:space="preserve">RND-10</t>
  </si>
  <si>
    <t xml:space="preserve">Criar `ThemeContext` com paletas clara e escura</t>
  </si>
  <si>
    <t xml:space="preserve">RND-10.2</t>
  </si>
  <si>
    <t xml:space="preserve">Persistir preferência no AsyncStorage</t>
  </si>
  <si>
    <t xml:space="preserve">RND-10.3</t>
  </si>
  <si>
    <t xml:space="preserve">Auditar contraste de todas as telas no tema escuro</t>
  </si>
  <si>
    <t xml:space="preserve">RND-11.1</t>
  </si>
  <si>
    <t xml:space="preserve">RND-11</t>
  </si>
  <si>
    <t xml:space="preserve">Construir tela de perfil com dados atuais e modo de edição</t>
  </si>
  <si>
    <t xml:space="preserve">RND-11.2</t>
  </si>
  <si>
    <t xml:space="preserve">Salvar alterações no Firestore com feedback de sucesso</t>
  </si>
  <si>
    <t xml:space="preserve">RND-QA.1</t>
  </si>
  <si>
    <t xml:space="preserve">QA</t>
  </si>
  <si>
    <t xml:space="preserve">Rodar teste cruzado com outra equipe e registrar bugs como issues `bug`</t>
  </si>
  <si>
    <t xml:space="preserve">RND-QA.2</t>
  </si>
  <si>
    <t xml:space="preserve">Corrigir bugs priorizados do teste cruzado</t>
  </si>
  <si>
    <t xml:space="preserve">RND-QA.3</t>
  </si>
  <si>
    <t xml:space="preserve">Revisão final de acessibilidade (fontes, contraste, áreas de toque)</t>
  </si>
  <si>
    <t xml:space="preserve">Total de aulas estimadas:</t>
  </si>
  <si>
    <t xml:space="preserve">Aulas concluídas (Feito):</t>
  </si>
  <si>
    <t xml:space="preserve">EAA-01.1</t>
  </si>
  <si>
    <t xml:space="preserve">EAA-01</t>
  </si>
  <si>
    <t xml:space="preserve">EAA-01.2</t>
  </si>
  <si>
    <t xml:space="preserve">EAA-01.3</t>
  </si>
  <si>
    <t xml:space="preserve">EAA-01.4</t>
  </si>
  <si>
    <t xml:space="preserve">EAA-02.1</t>
  </si>
  <si>
    <t xml:space="preserve">EAA-02</t>
  </si>
  <si>
    <t xml:space="preserve">EAA-02.2</t>
  </si>
  <si>
    <t xml:space="preserve">EAA-02.3</t>
  </si>
  <si>
    <t xml:space="preserve">EAA-02.4</t>
  </si>
  <si>
    <t xml:space="preserve">EAA-03.1</t>
  </si>
  <si>
    <t xml:space="preserve">EAA-03</t>
  </si>
  <si>
    <t xml:space="preserve">EAA-03.2</t>
  </si>
  <si>
    <t xml:space="preserve">EAA-03.3</t>
  </si>
  <si>
    <t xml:space="preserve">EAA-03.4</t>
  </si>
  <si>
    <t xml:space="preserve">EAA-04.1</t>
  </si>
  <si>
    <t xml:space="preserve">EAA-04</t>
  </si>
  <si>
    <t xml:space="preserve">EAA-04.2</t>
  </si>
  <si>
    <t xml:space="preserve">EAA-04.3</t>
  </si>
  <si>
    <t xml:space="preserve">EAA-04.4</t>
  </si>
  <si>
    <t xml:space="preserve">EAA-05.1</t>
  </si>
  <si>
    <t xml:space="preserve">EAA-05</t>
  </si>
  <si>
    <t xml:space="preserve">Definir/documentar schema de progresso</t>
  </si>
  <si>
    <t xml:space="preserve">EAA-05.2</t>
  </si>
  <si>
    <t xml:space="preserve">Criar progresso/{uid} + hook useProgresso()</t>
  </si>
  <si>
    <t xml:space="preserve">EAA-06.1</t>
  </si>
  <si>
    <t xml:space="preserve">EAA-06</t>
  </si>
  <si>
    <t xml:space="preserve">Schema da lição + 1 lição-modelo</t>
  </si>
  <si>
    <t xml:space="preserve">EAA-06.2</t>
  </si>
  <si>
    <t xml:space="preserve">Escrever 9 lições — Emprego</t>
  </si>
  <si>
    <t xml:space="preserve">EAA-06.3</t>
  </si>
  <si>
    <t xml:space="preserve">Escrever 9 lições — Faculdade</t>
  </si>
  <si>
    <t xml:space="preserve">EAA-06.4</t>
  </si>
  <si>
    <t xml:space="preserve">Escrever 9 lições — Financeiro</t>
  </si>
  <si>
    <t xml:space="preserve">EAA-06.5</t>
  </si>
  <si>
    <t xml:space="preserve">Revisão por professor + carregar no Firestore</t>
  </si>
  <si>
    <t xml:space="preserve">EAA-07.1</t>
  </si>
  <si>
    <t xml:space="preserve">EAA-07</t>
  </si>
  <si>
    <t xml:space="preserve">Construir o seletor de trilhas na Home (Emprego · Faculdade · Financeiro)</t>
  </si>
  <si>
    <t xml:space="preserve">EAA-07.2</t>
  </si>
  <si>
    <t xml:space="preserve">Construir o componente `MapaTrilha` (caminho vertical de fases)</t>
  </si>
  <si>
    <t xml:space="preserve">EAA-07.3</t>
  </si>
  <si>
    <t xml:space="preserve">Implementar os 3 estados visuais da fase (concluída · atual · bloqueada)</t>
  </si>
  <si>
    <t xml:space="preserve">EAA-07.4</t>
  </si>
  <si>
    <t xml:space="preserve">Conectar navegação da fase atual para a `LicaoScreen`</t>
  </si>
  <si>
    <t xml:space="preserve">EAA-08.1</t>
  </si>
  <si>
    <t xml:space="preserve">EAA-08</t>
  </si>
  <si>
    <t xml:space="preserve">Construir UI da lição (título, texto formatado, progresso da fase)</t>
  </si>
  <si>
    <t xml:space="preserve">EAA-08.2</t>
  </si>
  <si>
    <t xml:space="preserve">Habilitar "Fazer Quiz" apenas ao final da rolagem</t>
  </si>
  <si>
    <t xml:space="preserve">EAA-08.3</t>
  </si>
  <si>
    <t xml:space="preserve">Garantir que voltar sem concluir não marca a lição</t>
  </si>
  <si>
    <t xml:space="preserve">EAA-09.1</t>
  </si>
  <si>
    <t xml:space="preserve">EAA-09</t>
  </si>
  <si>
    <t xml:space="preserve">Construir UI do quiz (pergunta + 4 opções + barra de questões)</t>
  </si>
  <si>
    <t xml:space="preserve">EAA-09.2</t>
  </si>
  <si>
    <t xml:space="preserve">Implementar feedback imediato (acertou/errou + resposta correta)</t>
  </si>
  <si>
    <t xml:space="preserve">EAA-09.3</t>
  </si>
  <si>
    <t xml:space="preserve">Implementar regra de aprovação (≥ 2/3) e tela de resultado</t>
  </si>
  <si>
    <t xml:space="preserve">EAA-09.4</t>
  </si>
  <si>
    <t xml:space="preserve">Atualizar Firestore na conclusão (lição + fase quando completa)</t>
  </si>
  <si>
    <t xml:space="preserve">EAA-10.1</t>
  </si>
  <si>
    <t xml:space="preserve">EAA-10</t>
  </si>
  <si>
    <t xml:space="preserve">Implementar regra de XP (10 por lição + 5 de bônus por quiz perfeito)</t>
  </si>
  <si>
    <t xml:space="preserve">EAA-10.2</t>
  </si>
  <si>
    <t xml:space="preserve">Construir header com XP total + componente `BarraProgresso`</t>
  </si>
  <si>
    <t xml:space="preserve">EAA-10.3</t>
  </si>
  <si>
    <t xml:space="preserve">Animar o ganho de XP na tela de resultado do quiz</t>
  </si>
  <si>
    <t xml:space="preserve">EAA-11.1</t>
  </si>
  <si>
    <t xml:space="preserve">EAA-11</t>
  </si>
  <si>
    <t xml:space="preserve">Definir as 6 conquistas (2 por trilha) com nome, ícone e condição</t>
  </si>
  <si>
    <t xml:space="preserve">EAA-11.2</t>
  </si>
  <si>
    <t xml:space="preserve">Implementar verificação de conquistas após cada lição concluída</t>
  </si>
  <si>
    <t xml:space="preserve">EAA-11.3</t>
  </si>
  <si>
    <t xml:space="preserve">Construir tela de conquistas (desbloqueadas + silhuetas)</t>
  </si>
  <si>
    <t xml:space="preserve">EAA-11.4</t>
  </si>
  <si>
    <t xml:space="preserve">Exibir modal de comemoração no desbloqueio</t>
  </si>
  <si>
    <t xml:space="preserve">EAA-12.1</t>
  </si>
  <si>
    <t xml:space="preserve">EAA-12</t>
  </si>
  <si>
    <t xml:space="preserve">Configurar `expo-notifications` e pedir permissão no primeiro uso</t>
  </si>
  <si>
    <t xml:space="preserve">EAA-12.2</t>
  </si>
  <si>
    <t xml:space="preserve">Agendar notificação local diária (19h) com 3 textos rotativos</t>
  </si>
  <si>
    <t xml:space="preserve">EAA-12.3</t>
  </si>
  <si>
    <t xml:space="preserve">Criar alternância ativar/desativar no perfil (persistida)</t>
  </si>
  <si>
    <t xml:space="preserve">EAA-QA.1</t>
  </si>
  <si>
    <t xml:space="preserve">Teste cruzado com outra equipe + registro de bugs como issues `bug`</t>
  </si>
  <si>
    <t xml:space="preserve">EAA-QA.2</t>
  </si>
  <si>
    <t xml:space="preserve">Corrigir bugs priorizados</t>
  </si>
  <si>
    <t xml:space="preserve">EAA-QA.3</t>
  </si>
  <si>
    <t xml:space="preserve">Revisão de conteúdo: jogar as 27 lições do início ao fim</t>
  </si>
  <si>
    <t xml:space="preserve">SIN-01.1</t>
  </si>
  <si>
    <t xml:space="preserve">SIN-01</t>
  </si>
  <si>
    <t xml:space="preserve">SIN-01.2</t>
  </si>
  <si>
    <t xml:space="preserve">SIN-01.3</t>
  </si>
  <si>
    <t xml:space="preserve">SIN-01.4</t>
  </si>
  <si>
    <t xml:space="preserve">SIN-02.1</t>
  </si>
  <si>
    <t xml:space="preserve">SIN-02</t>
  </si>
  <si>
    <t xml:space="preserve">SIN-02.2</t>
  </si>
  <si>
    <t xml:space="preserve">SIN-02.3</t>
  </si>
  <si>
    <t xml:space="preserve">SIN-02.4</t>
  </si>
  <si>
    <t xml:space="preserve">SIN-03.1</t>
  </si>
  <si>
    <t xml:space="preserve">SIN-03</t>
  </si>
  <si>
    <t xml:space="preserve">SIN-03.2</t>
  </si>
  <si>
    <t xml:space="preserve">SIN-03.3</t>
  </si>
  <si>
    <t xml:space="preserve">SIN-03.4</t>
  </si>
  <si>
    <t xml:space="preserve">SIN-04.1</t>
  </si>
  <si>
    <t xml:space="preserve">SIN-04</t>
  </si>
  <si>
    <t xml:space="preserve">SIN-04.2</t>
  </si>
  <si>
    <t xml:space="preserve">SIN-04.3</t>
  </si>
  <si>
    <t xml:space="preserve">SIN-04.4</t>
  </si>
  <si>
    <t xml:space="preserve">SIN-05.1</t>
  </si>
  <si>
    <t xml:space="preserve">SIN-05</t>
  </si>
  <si>
    <t xml:space="preserve">Modelar coleção `eventos` e documentar o schema no README</t>
  </si>
  <si>
    <t xml:space="preserve">SIN-05.2</t>
  </si>
  <si>
    <t xml:space="preserve">Popular 6 eventos de teste no Firestore</t>
  </si>
  <si>
    <t xml:space="preserve">SIN-05.3</t>
  </si>
  <si>
    <t xml:space="preserve">Construir o componente `CardEvento`</t>
  </si>
  <si>
    <t xml:space="preserve">SIN-05.4</t>
  </si>
  <si>
    <t xml:space="preserve">Implementar FlatList com query ordenada por data (`data &gt;= hoje`)</t>
  </si>
  <si>
    <t xml:space="preserve">SIN-05.5</t>
  </si>
  <si>
    <t xml:space="preserve">Adicionar estados de carregamento e lista vazia</t>
  </si>
  <si>
    <t xml:space="preserve">SIN-06.1</t>
  </si>
  <si>
    <t xml:space="preserve">SIN-06</t>
  </si>
  <si>
    <t xml:space="preserve">Construir UI da tela de detalhe</t>
  </si>
  <si>
    <t xml:space="preserve">SIN-06.2</t>
  </si>
  <si>
    <t xml:space="preserve">Conectar navegação feed → detalhe com `eventoId` por parâmetro</t>
  </si>
  <si>
    <t xml:space="preserve">SIN-07.1</t>
  </si>
  <si>
    <t xml:space="preserve">SIN-07</t>
  </si>
  <si>
    <t xml:space="preserve">Decidir e documentar o modelo de inscrição (subcoleção vs. array de UIDs)</t>
  </si>
  <si>
    <t xml:space="preserve">SIN-07.2</t>
  </si>
  <si>
    <t xml:space="preserve">Implementar `inscrever(eventoId)` e `cancelarInscricao(eventoId)`</t>
  </si>
  <si>
    <t xml:space="preserve">SIN-07.3</t>
  </si>
  <si>
    <t xml:space="preserve">Conectar botão Inscrever-se com os 3 estados (disponível · inscrito · cancelando)</t>
  </si>
  <si>
    <t xml:space="preserve">SIN-08.1</t>
  </si>
  <si>
    <t xml:space="preserve">SIN-08</t>
  </si>
  <si>
    <t xml:space="preserve">Implementar query de eventos por UID inscrito</t>
  </si>
  <si>
    <t xml:space="preserve">SIN-08.2</t>
  </si>
  <si>
    <t xml:space="preserve">Construir tela com seções "Próximos" e "Já aconteceram"</t>
  </si>
  <si>
    <t xml:space="preserve">SIN-09.1</t>
  </si>
  <si>
    <t xml:space="preserve">SIN-09</t>
  </si>
  <si>
    <t xml:space="preserve">Avaliar e decidir: `react-native-calendars` ou calendário próprio</t>
  </si>
  <si>
    <t xml:space="preserve">SIN-09.2</t>
  </si>
  <si>
    <t xml:space="preserve">Construir o mini-calendário da Home com marcadores</t>
  </si>
  <si>
    <t xml:space="preserve">SIN-09.3</t>
  </si>
  <si>
    <t xml:space="preserve">Construir o calendário completo (tela própria)</t>
  </si>
  <si>
    <t xml:space="preserve">SIN-09.4</t>
  </si>
  <si>
    <t xml:space="preserve">Listar eventos do dia ao tocar em uma data</t>
  </si>
  <si>
    <t xml:space="preserve">SIN-10.1</t>
  </si>
  <si>
    <t xml:space="preserve">SIN-10</t>
  </si>
  <si>
    <t xml:space="preserve">Construir UI do formulário (título, descrição, data, horário, local, categoria)</t>
  </si>
  <si>
    <t xml:space="preserve">SIN-10.2</t>
  </si>
  <si>
    <t xml:space="preserve">Integrar DateTimePicker para data e horário</t>
  </si>
  <si>
    <t xml:space="preserve">SIN-10.3</t>
  </si>
  <si>
    <t xml:space="preserve">Implementar validações (obrigatórios + data futura)</t>
  </si>
  <si>
    <t xml:space="preserve">SIN-10.4</t>
  </si>
  <si>
    <t xml:space="preserve">Gravar evento no Firestore com `criadoPor: uid`</t>
  </si>
  <si>
    <t xml:space="preserve">SIN-10.5</t>
  </si>
  <si>
    <t xml:space="preserve">Restringir o acesso à tela ao perfil organizador</t>
  </si>
  <si>
    <t xml:space="preserve">SIN-11.1</t>
  </si>
  <si>
    <t xml:space="preserve">SIN-11</t>
  </si>
  <si>
    <t xml:space="preserve">Construir a linha de chips de categoria no topo do feed</t>
  </si>
  <si>
    <t xml:space="preserve">SIN-11.2</t>
  </si>
  <si>
    <t xml:space="preserve">Aplicar o filtro à lista sem recarregar a tela</t>
  </si>
  <si>
    <t xml:space="preserve">SIN-12.1</t>
  </si>
  <si>
    <t xml:space="preserve">SIN-12</t>
  </si>
  <si>
    <t xml:space="preserve">Configurar `expo-notifications` com pedido de permissão</t>
  </si>
  <si>
    <t xml:space="preserve">SIN-12.2</t>
  </si>
  <si>
    <t xml:space="preserve">Agendar notificações na inscrição (1 dia antes + 1 hora antes)</t>
  </si>
  <si>
    <t xml:space="preserve">SIN-12.3</t>
  </si>
  <si>
    <t xml:space="preserve">Cancelar notificações ao cancelar a inscrição</t>
  </si>
  <si>
    <t xml:space="preserve">SIN-13.1</t>
  </si>
  <si>
    <t xml:space="preserve">SIN-13</t>
  </si>
  <si>
    <t xml:space="preserve">Implementar alternância de favorito (ícone de coração no card e no detalhe)</t>
  </si>
  <si>
    <t xml:space="preserve">SIN-13.2</t>
  </si>
  <si>
    <t xml:space="preserve">Construir a lista de favoritos no menu</t>
  </si>
  <si>
    <t xml:space="preserve">SIN-14.1</t>
  </si>
  <si>
    <t xml:space="preserve">SIN-14</t>
  </si>
  <si>
    <t xml:space="preserve">Implementar opção de fonte maior (2 níveis) no perfil</t>
  </si>
  <si>
    <t xml:space="preserve">SIN-14.2</t>
  </si>
  <si>
    <t xml:space="preserve">Auditar contraste e áreas de toque (mín. 44×44) em todas as telas</t>
  </si>
  <si>
    <t xml:space="preserve">SIN-QA.1</t>
  </si>
  <si>
    <t xml:space="preserve">SIN-QA.2</t>
  </si>
  <si>
    <t xml:space="preserve">ANB-01.1</t>
  </si>
  <si>
    <t xml:space="preserve">ANB-01</t>
  </si>
  <si>
    <t xml:space="preserve">ANB-01.2</t>
  </si>
  <si>
    <t xml:space="preserve">ANB-01.3</t>
  </si>
  <si>
    <t xml:space="preserve">ANB-01.4</t>
  </si>
  <si>
    <t xml:space="preserve">ANB-02.1</t>
  </si>
  <si>
    <t xml:space="preserve">ANB-02</t>
  </si>
  <si>
    <t xml:space="preserve">ANB-02.2</t>
  </si>
  <si>
    <t xml:space="preserve">ANB-02.3</t>
  </si>
  <si>
    <t xml:space="preserve">ANB-02.4</t>
  </si>
  <si>
    <t xml:space="preserve">ANB-03.1</t>
  </si>
  <si>
    <t xml:space="preserve">ANB-03</t>
  </si>
  <si>
    <t xml:space="preserve">ANB-03.2</t>
  </si>
  <si>
    <t xml:space="preserve">ANB-03.3</t>
  </si>
  <si>
    <t xml:space="preserve">ANB-03.4</t>
  </si>
  <si>
    <t xml:space="preserve">ANB-04.1</t>
  </si>
  <si>
    <t xml:space="preserve">ANB-04</t>
  </si>
  <si>
    <t xml:space="preserve">ANB-04.2</t>
  </si>
  <si>
    <t xml:space="preserve">ANB-04.3</t>
  </si>
  <si>
    <t xml:space="preserve">ANB-04.4</t>
  </si>
  <si>
    <t xml:space="preserve">ANB-05.1</t>
  </si>
  <si>
    <t xml:space="preserve">ANB-05</t>
  </si>
  <si>
    <t xml:space="preserve">Definir a grade de slots do dia (ex.: 7h–22h, blocos de 1h) e documentar</t>
  </si>
  <si>
    <t xml:space="preserve">ANB-05.2</t>
  </si>
  <si>
    <t xml:space="preserve">Modelar coleção `agendamentos` no Firestore</t>
  </si>
  <si>
    <t xml:space="preserve">ANB-05.3</t>
  </si>
  <si>
    <t xml:space="preserve">Construir o componente `SlotHorario` com os 3 estados de cor</t>
  </si>
  <si>
    <t xml:space="preserve">ANB-05.4</t>
  </si>
  <si>
    <t xml:space="preserve">Construir a tela principal: data selecionada + grade do dia</t>
  </si>
  <si>
    <t xml:space="preserve">ANB-05.5</t>
  </si>
  <si>
    <t xml:space="preserve">Cruzar slots com agendamentos via `onSnapshot`</t>
  </si>
  <si>
    <t xml:space="preserve">ANB-05.6</t>
  </si>
  <si>
    <t xml:space="preserve">Adicionar seletor de data (calendário ou date picker)</t>
  </si>
  <si>
    <t xml:space="preserve">ANB-06.1</t>
  </si>
  <si>
    <t xml:space="preserve">ANB-06</t>
  </si>
  <si>
    <t xml:space="preserve">Modelar coleção `cronogramaFixo` e popular com os horários reais da quadra</t>
  </si>
  <si>
    <t xml:space="preserve">ANB-06.2</t>
  </si>
  <si>
    <t xml:space="preserve">Mesclar cronograma fixo + agendamentos na grade (prioridade do fixo)</t>
  </si>
  <si>
    <t xml:space="preserve">ANB-06.3</t>
  </si>
  <si>
    <t xml:space="preserve">Construir a tela de cronograma semanal por modalidade</t>
  </si>
  <si>
    <t xml:space="preserve">ANB-07.1</t>
  </si>
  <si>
    <t xml:space="preserve">ANB-07</t>
  </si>
  <si>
    <t xml:space="preserve">Implementar a alternância "Mostrar só disponíveis"</t>
  </si>
  <si>
    <t xml:space="preserve">ANB-07.2</t>
  </si>
  <si>
    <t xml:space="preserve">Construir a lista de próximos slots livres (dia + hora)</t>
  </si>
  <si>
    <t xml:space="preserve">ANB-08.1</t>
  </si>
  <si>
    <t xml:space="preserve">ANB-08</t>
  </si>
  <si>
    <t xml:space="preserve">Construir a tela de confirmação do agendamento</t>
  </si>
  <si>
    <t xml:space="preserve">ANB-08.2</t>
  </si>
  <si>
    <t xml:space="preserve">Implementar ID determinístico do documento (`data_horaInicio`)</t>
  </si>
  <si>
    <t xml:space="preserve">ANB-08.3</t>
  </si>
  <si>
    <t xml:space="preserve">Tratar o conflito com mensagem amigável</t>
  </si>
  <si>
    <t xml:space="preserve">ANB-08.4</t>
  </si>
  <si>
    <t xml:space="preserve">Implementar o limite de reservas ativas por aluno (definir N com o professor)</t>
  </si>
  <si>
    <t xml:space="preserve">ANB-08.5</t>
  </si>
  <si>
    <t xml:space="preserve">Teste de conflito com 2 celulares disputando o mesmo slot</t>
  </si>
  <si>
    <t xml:space="preserve">ANB-09.1</t>
  </si>
  <si>
    <t xml:space="preserve">ANB-09</t>
  </si>
  <si>
    <t xml:space="preserve">Construir a tela com reservas futuras e passadas do usuário</t>
  </si>
  <si>
    <t xml:space="preserve">ANB-09.2</t>
  </si>
  <si>
    <t xml:space="preserve">Implementar o cancelamento com confirmação</t>
  </si>
  <si>
    <t xml:space="preserve">ANB-10.1</t>
  </si>
  <si>
    <t xml:space="preserve">ANB-10</t>
  </si>
  <si>
    <t xml:space="preserve">Construir o painel com a lista de reservas pendentes (perfil admin)</t>
  </si>
  <si>
    <t xml:space="preserve">ANB-10.2</t>
  </si>
  <si>
    <t xml:space="preserve">Implementar Aprovar (→ confirmado) e Recusar (→ libera o slot)</t>
  </si>
  <si>
    <t xml:space="preserve">ANB-10.3</t>
  </si>
  <si>
    <t xml:space="preserve">Teste integrado do ciclo completo: reservar → aprovar → cancelar</t>
  </si>
  <si>
    <t xml:space="preserve">ANB-11.1</t>
  </si>
  <si>
    <t xml:space="preserve">ANB-11</t>
  </si>
  <si>
    <t xml:space="preserve">ANB-11.2</t>
  </si>
  <si>
    <t xml:space="preserve">Agendar notificação local semanal (segunda de manhã)</t>
  </si>
  <si>
    <t xml:space="preserve">ANB-11.3</t>
  </si>
  <si>
    <t xml:space="preserve">Criar alternância ativar/desativar no perfil</t>
  </si>
  <si>
    <t xml:space="preserve">ANB-12.1</t>
  </si>
  <si>
    <t xml:space="preserve">ANB-12</t>
  </si>
  <si>
    <t xml:space="preserve">ANB-12.2</t>
  </si>
  <si>
    <t xml:space="preserve">Garantir distinção verde/vermelho/amarelo no tema escuro</t>
  </si>
  <si>
    <t xml:space="preserve">ANB-12.3</t>
  </si>
  <si>
    <t xml:space="preserve">Persistir a preferência no AsyncStorage</t>
  </si>
  <si>
    <t xml:space="preserve">ANB-QA.1</t>
  </si>
  <si>
    <t xml:space="preserve">ANB-QA.2</t>
  </si>
  <si>
    <t xml:space="preserve">ANB-QA.3</t>
  </si>
  <si>
    <t xml:space="preserve">Teste de estresse do conflito: 4+ pessoas disputando slots na mesma aula</t>
  </si>
  <si>
    <t xml:space="preserve">MON-01.1</t>
  </si>
  <si>
    <t xml:space="preserve">MON-01</t>
  </si>
  <si>
    <t xml:space="preserve">MON-01.2</t>
  </si>
  <si>
    <t xml:space="preserve">MON-01.3</t>
  </si>
  <si>
    <t xml:space="preserve">MON-01.4</t>
  </si>
  <si>
    <t xml:space="preserve">MON-02.1</t>
  </si>
  <si>
    <t xml:space="preserve">MON-02</t>
  </si>
  <si>
    <t xml:space="preserve">MON-02.2</t>
  </si>
  <si>
    <t xml:space="preserve">MON-02.3</t>
  </si>
  <si>
    <t xml:space="preserve">MON-02.4</t>
  </si>
  <si>
    <t xml:space="preserve">MON-03.1</t>
  </si>
  <si>
    <t xml:space="preserve">MON-03</t>
  </si>
  <si>
    <t xml:space="preserve">MON-03.2</t>
  </si>
  <si>
    <t xml:space="preserve">MON-03.3</t>
  </si>
  <si>
    <t xml:space="preserve">MON-03.4</t>
  </si>
  <si>
    <t xml:space="preserve">MON-04.1</t>
  </si>
  <si>
    <t xml:space="preserve">MON-04</t>
  </si>
  <si>
    <t xml:space="preserve">MON-04.2</t>
  </si>
  <si>
    <t xml:space="preserve">MON-04.3</t>
  </si>
  <si>
    <t xml:space="preserve">MON-04.4</t>
  </si>
  <si>
    <t xml:space="preserve">MON-05.1</t>
  </si>
  <si>
    <t xml:space="preserve">MON-05</t>
  </si>
  <si>
    <t xml:space="preserve">Modelar coleção `monitorias` e documentar o schema</t>
  </si>
  <si>
    <t xml:space="preserve">MON-05.2</t>
  </si>
  <si>
    <t xml:space="preserve">Decidir: `react-native-calendars` ou lista agrupada por dia</t>
  </si>
  <si>
    <t xml:space="preserve">MON-05.3</t>
  </si>
  <si>
    <t xml:space="preserve">Construir o componente `CardMonitoria`</t>
  </si>
  <si>
    <t xml:space="preserve">MON-05.4</t>
  </si>
  <si>
    <t xml:space="preserve">Implementar a listagem de monitorias futuras agrupadas por dia</t>
  </si>
  <si>
    <t xml:space="preserve">MON-05.5</t>
  </si>
  <si>
    <t xml:space="preserve">Marcar visualmente os dias com monitoria</t>
  </si>
  <si>
    <t xml:space="preserve">MON-06.1</t>
  </si>
  <si>
    <t xml:space="preserve">MON-06</t>
  </si>
  <si>
    <t xml:space="preserve">Construir UI do formulário (disciplina, data, hora início/fim, sala, descrição)</t>
  </si>
  <si>
    <t xml:space="preserve">MON-06.2</t>
  </si>
  <si>
    <t xml:space="preserve">Integrar DateTimePicker para data e horários</t>
  </si>
  <si>
    <t xml:space="preserve">MON-06.3</t>
  </si>
  <si>
    <t xml:space="preserve">Implementar validações e gravação no Firestore</t>
  </si>
  <si>
    <t xml:space="preserve">MON-06.4</t>
  </si>
  <si>
    <t xml:space="preserve">Implementar edição e cancelamento (só o próprio monitor)</t>
  </si>
  <si>
    <t xml:space="preserve">MON-07.1</t>
  </si>
  <si>
    <t xml:space="preserve">MON-07</t>
  </si>
  <si>
    <t xml:space="preserve">Construir a tela de detalhe da monitoria</t>
  </si>
  <si>
    <t xml:space="preserve">MON-07.2</t>
  </si>
  <si>
    <t xml:space="preserve">Decidir e documentar o modelo de participantes (subcoleção vs. array)</t>
  </si>
  <si>
    <t xml:space="preserve">MON-07.3</t>
  </si>
  <si>
    <t xml:space="preserve">Implementar `confirmar(monitoriaId)` e `desistir(monitoriaId)`</t>
  </si>
  <si>
    <t xml:space="preserve">MON-07.4</t>
  </si>
  <si>
    <t xml:space="preserve">Atualizar o contador de confirmados em tempo real</t>
  </si>
  <si>
    <t xml:space="preserve">MON-08.1</t>
  </si>
  <si>
    <t xml:space="preserve">MON-08</t>
  </si>
  <si>
    <t xml:space="preserve">Exibir a lista de nomes confirmados no detalhe (visão do monitor)</t>
  </si>
  <si>
    <t xml:space="preserve">MON-08.2</t>
  </si>
  <si>
    <t xml:space="preserve">Tratar o estado "nenhuma confirmação ainda"</t>
  </si>
  <si>
    <t xml:space="preserve">MON-08.3</t>
  </si>
  <si>
    <t xml:space="preserve">Teste integrado com 2 celulares (estudante confirma → monitor vê)</t>
  </si>
  <si>
    <t xml:space="preserve">MON-09.1</t>
  </si>
  <si>
    <t xml:space="preserve">MON-09</t>
  </si>
  <si>
    <t xml:space="preserve">Implementar a visão do estudante (monitorias confirmadas)</t>
  </si>
  <si>
    <t xml:space="preserve">MON-09.2</t>
  </si>
  <si>
    <t xml:space="preserve">Implementar a visão do monitor (monitorias criadas + contador)</t>
  </si>
  <si>
    <t xml:space="preserve">MON-10.1</t>
  </si>
  <si>
    <t xml:space="preserve">MON-10</t>
  </si>
  <si>
    <t xml:space="preserve">Gerar a lista de disciplinas a partir das monitorias existentes</t>
  </si>
  <si>
    <t xml:space="preserve">MON-10.2</t>
  </si>
  <si>
    <t xml:space="preserve">Aplicar o filtro sem recarregar a tela</t>
  </si>
  <si>
    <t xml:space="preserve">MON-11.1</t>
  </si>
  <si>
    <t xml:space="preserve">MON-11</t>
  </si>
  <si>
    <t xml:space="preserve">MON-11.2</t>
  </si>
  <si>
    <t xml:space="preserve">Agendar notificação 1h antes ao confirmar presença</t>
  </si>
  <si>
    <t xml:space="preserve">MON-11.3</t>
  </si>
  <si>
    <t xml:space="preserve">Cancelar a notificação ao desistir</t>
  </si>
  <si>
    <t xml:space="preserve">MON-QA.1</t>
  </si>
  <si>
    <t xml:space="preserve">MON-QA.2</t>
  </si>
  <si>
    <t xml:space="preserve">MON-QA.3</t>
  </si>
  <si>
    <t xml:space="preserve">Polimento visual das 4 abas (consistência de cores, espaçamentos, ícones)</t>
  </si>
  <si>
    <t xml:space="preserve">FLW-01.1</t>
  </si>
  <si>
    <t xml:space="preserve">FLW-01</t>
  </si>
  <si>
    <t xml:space="preserve">FLW-01.2</t>
  </si>
  <si>
    <t xml:space="preserve">FLW-01.3</t>
  </si>
  <si>
    <t xml:space="preserve">FLW-01.4</t>
  </si>
  <si>
    <t xml:space="preserve">FLW-02.1</t>
  </si>
  <si>
    <t xml:space="preserve">FLW-02</t>
  </si>
  <si>
    <t xml:space="preserve">FLW-02.2</t>
  </si>
  <si>
    <t xml:space="preserve">FLW-02.3</t>
  </si>
  <si>
    <t xml:space="preserve">FLW-02.4</t>
  </si>
  <si>
    <t xml:space="preserve">FLW-03.1</t>
  </si>
  <si>
    <t xml:space="preserve">FLW-03</t>
  </si>
  <si>
    <t xml:space="preserve">FLW-03.2</t>
  </si>
  <si>
    <t xml:space="preserve">FLW-03.3</t>
  </si>
  <si>
    <t xml:space="preserve">FLW-03.4</t>
  </si>
  <si>
    <t xml:space="preserve">FLW-04.1</t>
  </si>
  <si>
    <t xml:space="preserve">FLW-04</t>
  </si>
  <si>
    <t xml:space="preserve">FLW-04.2</t>
  </si>
  <si>
    <t xml:space="preserve">FLW-04.3</t>
  </si>
  <si>
    <t xml:space="preserve">FLW-04.4</t>
  </si>
  <si>
    <t xml:space="preserve">FLW-05.1</t>
  </si>
  <si>
    <t xml:space="preserve">FLW-05</t>
  </si>
  <si>
    <t xml:space="preserve">Modelar coleção `atividades` e documentar o schema</t>
  </si>
  <si>
    <t xml:space="preserve">FLW-05.2</t>
  </si>
  <si>
    <t xml:space="preserve">Construir UI do formulário (título, disciplina, turma, tipo, data, descrição)</t>
  </si>
  <si>
    <t xml:space="preserve">FLW-05.3</t>
  </si>
  <si>
    <t xml:space="preserve">Integrar DateTimePicker e validações</t>
  </si>
  <si>
    <t xml:space="preserve">FLW-05.4</t>
  </si>
  <si>
    <t xml:space="preserve">Implementar o **alerta de sobrecarga** antes de salvar</t>
  </si>
  <si>
    <t xml:space="preserve">FLW-05.5</t>
  </si>
  <si>
    <t xml:space="preserve">Gravar a atividade e refletir na agenda dos alunos</t>
  </si>
  <si>
    <t xml:space="preserve">FLW-05.6</t>
  </si>
  <si>
    <t xml:space="preserve">Implementar edição e exclusão (só o professor criador)</t>
  </si>
  <si>
    <t xml:space="preserve">FLW-06.1</t>
  </si>
  <si>
    <t xml:space="preserve">FLW-06</t>
  </si>
  <si>
    <t xml:space="preserve">Construir o componente `CardAtividade` com badge de cor por tipo</t>
  </si>
  <si>
    <t xml:space="preserve">FLW-06.2</t>
  </si>
  <si>
    <t xml:space="preserve">Implementar a SectionList agrupada por dia (ordenada da mais próxima)</t>
  </si>
  <si>
    <t xml:space="preserve">FLW-06.3</t>
  </si>
  <si>
    <t xml:space="preserve">Separar atividades passadas em aba/seção "Histórico"</t>
  </si>
  <si>
    <t xml:space="preserve">FLW-06.4</t>
  </si>
  <si>
    <t xml:space="preserve">Construir a tela de detalhe da atividade</t>
  </si>
  <si>
    <t xml:space="preserve">FLW-06.5</t>
  </si>
  <si>
    <t xml:space="preserve">Adicionar estados de carregamento e agenda vazia</t>
  </si>
  <si>
    <t xml:space="preserve">FLW-07.1</t>
  </si>
  <si>
    <t xml:space="preserve">FLW-07</t>
  </si>
  <si>
    <t xml:space="preserve">Construir o componente `SemanaHeatmap` (grade seg–sex com contagem)</t>
  </si>
  <si>
    <t xml:space="preserve">FLW-07.2</t>
  </si>
  <si>
    <t xml:space="preserve">Implementar o seletor de turma para o professor</t>
  </si>
  <si>
    <t xml:space="preserve">FLW-07.3</t>
  </si>
  <si>
    <t xml:space="preserve">Conectar o heatmap à query da turma inteira (todos os professores)</t>
  </si>
  <si>
    <t xml:space="preserve">FLW-07.4</t>
  </si>
  <si>
    <t xml:space="preserve">Implementar navegação entre semanas (anterior/próxima)</t>
  </si>
  <si>
    <t xml:space="preserve">FLW-07.5</t>
  </si>
  <si>
    <t xml:space="preserve">Listar as atividades do dia ao tocar em uma célula</t>
  </si>
  <si>
    <t xml:space="preserve">FLW-08.1</t>
  </si>
  <si>
    <t xml:space="preserve">FLW-08</t>
  </si>
  <si>
    <t xml:space="preserve">Reutilizar o `SemanaHeatmap` no topo da agenda do aluno</t>
  </si>
  <si>
    <t xml:space="preserve">FLW-08.2</t>
  </si>
  <si>
    <t xml:space="preserve">Conectar o toque na célula à rolagem da agenda até o dia</t>
  </si>
  <si>
    <t xml:space="preserve">FLW-09.1</t>
  </si>
  <si>
    <t xml:space="preserve">FLW-09</t>
  </si>
  <si>
    <t xml:space="preserve">Gerar chips de disciplina dinamicamente a partir das atividades</t>
  </si>
  <si>
    <t xml:space="preserve">FLW-09.2</t>
  </si>
  <si>
    <t xml:space="preserve">Aplicar o filtro à agenda e ao heatmap simultaneamente</t>
  </si>
  <si>
    <t xml:space="preserve">FLW-10.1</t>
  </si>
  <si>
    <t xml:space="preserve">FLW-10</t>
  </si>
  <si>
    <t xml:space="preserve">C</t>
  </si>
  <si>
    <t xml:space="preserve">FLW-10.2</t>
  </si>
  <si>
    <t xml:space="preserve">Agendar notificação local 1 dia antes de cada atividade da turma</t>
  </si>
  <si>
    <t xml:space="preserve">FLW-10.3</t>
  </si>
  <si>
    <t xml:space="preserve">FLW-QA.1</t>
  </si>
  <si>
    <t xml:space="preserve">FLW-QA.2</t>
  </si>
  <si>
    <t xml:space="preserve">FLW-QA.3</t>
  </si>
  <si>
    <t xml:space="preserve">Cenário de demonstração para o Shark Tank (2 professores + 1 aluno, dados realistas)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</si>
</sst>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761"/>
      <name val="Arial"/>
      <family val="0"/>
      <charset val="1"/>
    </font>
    <font>
      <sz val="10"/>
      <color rgb="FF64748B"/>
      <name val="Arial"/>
      <family val="0"/>
      <charset val="1"/>
    </font>
    <font>
      <i val="true"/>
      <sz val="9"/>
      <color rgb="FFF9731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7C3AED"/>
      <name val="Arial"/>
      <family val="0"/>
      <charset val="1"/>
    </font>
    <font>
      <sz val="10"/>
      <color rgb="FF1E293B"/>
      <name val="Arial"/>
      <family val="0"/>
      <charset val="1"/>
    </font>
    <font>
      <b val="true"/>
      <sz val="10"/>
      <color rgb="FFF97316"/>
      <name val="Arial"/>
      <family val="0"/>
      <charset val="1"/>
    </font>
    <font>
      <b val="true"/>
      <sz val="10"/>
      <color rgb="FF0E7490"/>
      <name val="Arial"/>
      <family val="0"/>
      <charset val="1"/>
    </font>
    <font>
      <b val="true"/>
      <sz val="10"/>
      <color rgb="FF0891B2"/>
      <name val="Arial"/>
      <family val="0"/>
      <charset val="1"/>
    </font>
    <font>
      <b val="true"/>
      <sz val="10"/>
      <color rgb="FF059669"/>
      <name val="Arial"/>
      <family val="0"/>
      <charset val="1"/>
    </font>
    <font>
      <b val="true"/>
      <sz val="10"/>
      <color rgb="FF1E2761"/>
      <name val="Arial"/>
      <family val="0"/>
      <charset val="1"/>
    </font>
    <font>
      <sz val="9"/>
      <color rgb="FF475569"/>
      <name val="Arial"/>
      <family val="0"/>
      <charset val="1"/>
    </font>
    <font>
      <b val="true"/>
      <sz val="10"/>
      <color rgb="FFDC2626"/>
      <name val="Arial"/>
      <family val="0"/>
      <charset val="1"/>
    </font>
    <font>
      <b val="true"/>
      <sz val="10"/>
      <color rgb="FFCA8A04"/>
      <name val="Arial"/>
      <family val="0"/>
      <charset val="1"/>
    </font>
    <font>
      <b val="true"/>
      <sz val="10"/>
      <color rgb="FF1E293B"/>
      <name val="Arial"/>
      <family val="0"/>
      <charset val="1"/>
    </font>
    <font>
      <b val="true"/>
      <sz val="10"/>
      <color rgb="FF64748B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E2761"/>
        <bgColor rgb="FF1E293B"/>
      </patternFill>
    </fill>
    <fill>
      <patternFill patternType="solid">
        <fgColor rgb="FFF1F5F9"/>
        <bgColor rgb="FFFFFFFF"/>
      </patternFill>
    </fill>
    <fill>
      <patternFill patternType="solid">
        <fgColor rgb="FFFFFFFF"/>
        <bgColor rgb="FFF1F5F9"/>
      </patternFill>
    </fill>
    <fill>
      <patternFill patternType="solid">
        <fgColor rgb="FF7C3AED"/>
        <bgColor rgb="FF993366"/>
      </patternFill>
    </fill>
    <fill>
      <patternFill patternType="solid">
        <fgColor rgb="FFFEE2E2"/>
        <bgColor rgb="FFE2E8F0"/>
      </patternFill>
    </fill>
    <fill>
      <patternFill patternType="solid">
        <fgColor rgb="FFFEF9C3"/>
        <bgColor rgb="FFFFFF99"/>
      </patternFill>
    </fill>
    <fill>
      <patternFill patternType="solid">
        <fgColor rgb="FFF97316"/>
        <bgColor rgb="FFCA8A04"/>
      </patternFill>
    </fill>
    <fill>
      <patternFill patternType="solid">
        <fgColor rgb="FF0E7490"/>
        <bgColor rgb="FF0891B2"/>
      </patternFill>
    </fill>
    <fill>
      <patternFill patternType="solid">
        <fgColor rgb="FF0891B2"/>
        <bgColor rgb="FF059669"/>
      </patternFill>
    </fill>
    <fill>
      <patternFill patternType="solid">
        <fgColor rgb="FF059669"/>
        <bgColor rgb="FF0891B2"/>
      </patternFill>
    </fill>
    <fill>
      <patternFill patternType="solid">
        <fgColor rgb="FFE2E8F0"/>
        <bgColor rgb="FFF1F5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7C3AED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2761"/>
          <bgColor rgb="FF000000"/>
        </patternFill>
      </fill>
    </dxf>
    <dxf>
      <fill>
        <patternFill patternType="solid">
          <fgColor rgb="FF64748B"/>
          <bgColor rgb="FF000000"/>
        </patternFill>
      </fill>
    </dxf>
    <dxf>
      <fill>
        <patternFill patternType="solid">
          <fgColor rgb="FF1E293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CA8A04"/>
          <bgColor rgb="FF000000"/>
        </patternFill>
      </fill>
    </dxf>
    <dxf>
      <fill>
        <patternFill patternType="solid">
          <fgColor rgb="FFDC2626"/>
          <bgColor rgb="FF000000"/>
        </patternFill>
      </fill>
    </dxf>
    <dxf>
      <fill>
        <patternFill patternType="solid">
          <fgColor rgb="FFF97316"/>
          <bgColor rgb="FF000000"/>
        </patternFill>
      </fill>
    </dxf>
    <dxf>
      <fill>
        <patternFill patternType="solid">
          <fgColor rgb="FF0E7490"/>
          <bgColor rgb="FF000000"/>
        </patternFill>
      </fill>
    </dxf>
    <dxf>
      <fill>
        <patternFill patternType="solid">
          <fgColor rgb="FF0891B2"/>
          <bgColor rgb="FF000000"/>
        </patternFill>
      </fill>
    </dxf>
    <dxf>
      <fill>
        <patternFill patternType="solid">
          <fgColor rgb="FF059669"/>
          <bgColor rgb="FF000000"/>
        </patternFill>
      </fill>
    </dxf>
    <dxf>
      <fill>
        <patternFill patternType="solid">
          <fgColor rgb="FFE2E8F0"/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CCCCC"/>
      <rgbColor rgb="FF808080"/>
      <rgbColor rgb="FF9999FF"/>
      <rgbColor rgb="FF7C3AED"/>
      <rgbColor rgb="FFFEF9C3"/>
      <rgbColor rgb="FFF1F5F9"/>
      <rgbColor rgb="FF660066"/>
      <rgbColor rgb="FFFF8080"/>
      <rgbColor rgb="FF0891B2"/>
      <rgbColor rgb="FFCCCCFF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2E8F0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CA8A04"/>
      <rgbColor rgb="FFF97316"/>
      <rgbColor rgb="FF64748B"/>
      <rgbColor rgb="FF969696"/>
      <rgbColor rgb="FF1E2761"/>
      <rgbColor rgb="FF339966"/>
      <rgbColor rgb="FF003300"/>
      <rgbColor rgb="FF333300"/>
      <rgbColor rgb="FF993300"/>
      <rgbColor rgb="FF993366"/>
      <rgbColor rgb="FF475569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27.75" hidden="false" customHeight="true" outlineLevel="0" collapsed="false">
      <c r="B6" s="4" t="s">
        <v>3</v>
      </c>
      <c r="C6" s="4" t="s">
        <v>4</v>
      </c>
      <c r="D6" s="4" t="s">
        <v>5</v>
      </c>
      <c r="E6" s="4" t="s">
        <v>6</v>
      </c>
      <c r="F6" s="4" t="s">
        <v>7</v>
      </c>
      <c r="G6" s="4" t="s">
        <v>8</v>
      </c>
      <c r="H6" s="4" t="s">
        <v>9</v>
      </c>
      <c r="I6" s="4" t="s">
        <v>10</v>
      </c>
      <c r="J6" s="4" t="s">
        <v>11</v>
      </c>
      <c r="K6" s="4" t="s">
        <v>12</v>
      </c>
    </row>
    <row r="7" customFormat="false" ht="15" hidden="false" customHeight="false" outlineLevel="0" collapsed="false">
      <c r="B7" s="5" t="s">
        <v>13</v>
      </c>
      <c r="C7" s="6" t="s">
        <v>14</v>
      </c>
      <c r="D7" s="7" t="n">
        <f aca="false">COUNTA(RadarNeuro!A2:A46)</f>
        <v>45</v>
      </c>
      <c r="E7" s="7" t="n">
        <f aca="false">COUNTIF(RadarNeuro!G2:G46,"Feito")</f>
        <v>0</v>
      </c>
      <c r="F7" s="7" t="n">
        <f aca="false">COUNTIF(RadarNeuro!G2:G46,"Fazendo")</f>
        <v>0</v>
      </c>
      <c r="G7" s="7" t="n">
        <f aca="false">COUNTIF(RadarNeuro!G2:G46,"Em Review")</f>
        <v>0</v>
      </c>
      <c r="H7" s="7" t="n">
        <f aca="false">COUNTIF(RadarNeuro!G2:G46,"A Fazer")+COUNTIF(RadarNeuro!G2:G46,"Backlog")</f>
        <v>45</v>
      </c>
      <c r="I7" s="8" t="n">
        <f aca="false">IF(D7=0,0,E7/D7)</f>
        <v>0</v>
      </c>
      <c r="J7" s="7" t="n">
        <f aca="false">SUM(RadarNeuro!F2:F46)</f>
        <v>41</v>
      </c>
      <c r="K7" s="7" t="n">
        <f aca="false">SUMIF(RadarNeuro!G2:G46,"Feito",RadarNeuro!F2:F46)</f>
        <v>0</v>
      </c>
    </row>
    <row r="8" customFormat="false" ht="15" hidden="false" customHeight="false" outlineLevel="0" collapsed="false">
      <c r="B8" s="9" t="s">
        <v>15</v>
      </c>
      <c r="C8" s="10" t="s">
        <v>16</v>
      </c>
      <c r="D8" s="11" t="n">
        <f aca="false">COUNTA(EAgoraAdulto!A2:A48)</f>
        <v>47</v>
      </c>
      <c r="E8" s="11" t="n">
        <f aca="false">COUNTIF(EAgoraAdulto!G2:G48,"Feito")</f>
        <v>0</v>
      </c>
      <c r="F8" s="11" t="n">
        <f aca="false">COUNTIF(EAgoraAdulto!G2:G48,"Fazendo")</f>
        <v>0</v>
      </c>
      <c r="G8" s="11" t="n">
        <f aca="false">COUNTIF(EAgoraAdulto!G2:G48,"Em Review")</f>
        <v>0</v>
      </c>
      <c r="H8" s="11" t="n">
        <f aca="false">COUNTIF(EAgoraAdulto!G2:G48,"A Fazer")+COUNTIF(EAgoraAdulto!G2:G48,"Backlog")</f>
        <v>47</v>
      </c>
      <c r="I8" s="12" t="n">
        <f aca="false">IF(D8=0,0,E8/D8)</f>
        <v>0</v>
      </c>
      <c r="J8" s="11" t="n">
        <f aca="false">SUM(EAgoraAdulto!F2:F48)</f>
        <v>45</v>
      </c>
      <c r="K8" s="11" t="n">
        <f aca="false">SUMIF(EAgoraAdulto!G2:G48,"Feito",EAgoraAdulto!F2:F48)</f>
        <v>0</v>
      </c>
    </row>
    <row r="9" customFormat="false" ht="23.85" hidden="false" customHeight="false" outlineLevel="0" collapsed="false">
      <c r="B9" s="13" t="s">
        <v>17</v>
      </c>
      <c r="C9" s="6" t="s">
        <v>18</v>
      </c>
      <c r="D9" s="7" t="n">
        <f aca="false">COUNTA(Sincronize!A2:A49)</f>
        <v>48</v>
      </c>
      <c r="E9" s="7" t="n">
        <f aca="false">COUNTIF(Sincronize!G2:G49,"Feito")</f>
        <v>0</v>
      </c>
      <c r="F9" s="7" t="n">
        <f aca="false">COUNTIF(Sincronize!G2:G49,"Fazendo")</f>
        <v>0</v>
      </c>
      <c r="G9" s="7" t="n">
        <f aca="false">COUNTIF(Sincronize!G2:G49,"Em Review")</f>
        <v>0</v>
      </c>
      <c r="H9" s="7" t="n">
        <f aca="false">COUNTIF(Sincronize!G2:G49,"A Fazer")+COUNTIF(Sincronize!G2:G49,"Backlog")</f>
        <v>48</v>
      </c>
      <c r="I9" s="8" t="n">
        <f aca="false">IF(D9=0,0,E9/D9)</f>
        <v>0</v>
      </c>
      <c r="J9" s="7" t="n">
        <f aca="false">SUM(Sincronize!F2:F49)</f>
        <v>41.5</v>
      </c>
      <c r="K9" s="7" t="n">
        <f aca="false">SUMIF(Sincronize!G2:G49,"Feito",Sincronize!F2:F49)</f>
        <v>0</v>
      </c>
    </row>
    <row r="10" customFormat="false" ht="15" hidden="false" customHeight="false" outlineLevel="0" collapsed="false">
      <c r="B10" s="14" t="s">
        <v>19</v>
      </c>
      <c r="C10" s="10" t="s">
        <v>20</v>
      </c>
      <c r="D10" s="11" t="n">
        <f aca="false">COUNTA(Anbylize!A2:A47)</f>
        <v>46</v>
      </c>
      <c r="E10" s="11" t="n">
        <f aca="false">COUNTIF(Anbylize!G2:G47,"Feito")</f>
        <v>0</v>
      </c>
      <c r="F10" s="11" t="n">
        <f aca="false">COUNTIF(Anbylize!G2:G47,"Fazendo")</f>
        <v>0</v>
      </c>
      <c r="G10" s="11" t="n">
        <f aca="false">COUNTIF(Anbylize!G2:G47,"Em Review")</f>
        <v>0</v>
      </c>
      <c r="H10" s="11" t="n">
        <f aca="false">COUNTIF(Anbylize!G2:G47,"A Fazer")+COUNTIF(Anbylize!G2:G47,"Backlog")</f>
        <v>46</v>
      </c>
      <c r="I10" s="12" t="n">
        <f aca="false">IF(D10=0,0,E10/D10)</f>
        <v>0</v>
      </c>
      <c r="J10" s="11" t="n">
        <f aca="false">SUM(Anbylize!F2:F47)</f>
        <v>39.5</v>
      </c>
      <c r="K10" s="11" t="n">
        <f aca="false">SUMIF(Anbylize!G2:G47,"Feito",Anbylize!F2:F47)</f>
        <v>0</v>
      </c>
    </row>
    <row r="11" customFormat="false" ht="15" hidden="false" customHeight="false" outlineLevel="0" collapsed="false">
      <c r="B11" s="15" t="s">
        <v>21</v>
      </c>
      <c r="C11" s="6" t="s">
        <v>22</v>
      </c>
      <c r="D11" s="7" t="n">
        <f aca="false">COUNTA(Monitorizador!A2:A43)</f>
        <v>42</v>
      </c>
      <c r="E11" s="7" t="n">
        <f aca="false">COUNTIF(Monitorizador!G2:G43,"Feito")</f>
        <v>0</v>
      </c>
      <c r="F11" s="7" t="n">
        <f aca="false">COUNTIF(Monitorizador!G2:G43,"Fazendo")</f>
        <v>0</v>
      </c>
      <c r="G11" s="7" t="n">
        <f aca="false">COUNTIF(Monitorizador!G2:G43,"Em Review")</f>
        <v>0</v>
      </c>
      <c r="H11" s="7" t="n">
        <f aca="false">COUNTIF(Monitorizador!G2:G43,"A Fazer")+COUNTIF(Monitorizador!G2:G43,"Backlog")</f>
        <v>42</v>
      </c>
      <c r="I11" s="8" t="n">
        <f aca="false">IF(D11=0,0,E11/D11)</f>
        <v>0</v>
      </c>
      <c r="J11" s="7" t="n">
        <f aca="false">SUM(Monitorizador!F2:F43)</f>
        <v>36.5</v>
      </c>
      <c r="K11" s="7" t="n">
        <f aca="false">SUMIF(Monitorizador!G2:G43,"Feito",Monitorizador!F2:F43)</f>
        <v>0</v>
      </c>
    </row>
    <row r="12" customFormat="false" ht="15" hidden="false" customHeight="false" outlineLevel="0" collapsed="false">
      <c r="B12" s="16" t="s">
        <v>23</v>
      </c>
      <c r="C12" s="10" t="s">
        <v>24</v>
      </c>
      <c r="D12" s="11" t="n">
        <f aca="false">COUNTA(FlowUp!A2:A43)</f>
        <v>42</v>
      </c>
      <c r="E12" s="11" t="n">
        <f aca="false">COUNTIF(FlowUp!G2:G43,"Feito")</f>
        <v>0</v>
      </c>
      <c r="F12" s="11" t="n">
        <f aca="false">COUNTIF(FlowUp!G2:G43,"Fazendo")</f>
        <v>0</v>
      </c>
      <c r="G12" s="11" t="n">
        <f aca="false">COUNTIF(FlowUp!G2:G43,"Em Review")</f>
        <v>0</v>
      </c>
      <c r="H12" s="11" t="n">
        <f aca="false">COUNTIF(FlowUp!G2:G43,"A Fazer")+COUNTIF(FlowUp!G2:G43,"Backlog")</f>
        <v>42</v>
      </c>
      <c r="I12" s="12" t="n">
        <f aca="false">IF(D12=0,0,E12/D12)</f>
        <v>0</v>
      </c>
      <c r="J12" s="11" t="n">
        <f aca="false">SUM(FlowUp!F2:F43)</f>
        <v>39</v>
      </c>
      <c r="K12" s="11" t="n">
        <f aca="false">SUMIF(FlowUp!G2:G43,"Feito",FlowUp!F2:F43)</f>
        <v>0</v>
      </c>
    </row>
    <row r="13" customFormat="false" ht="15" hidden="false" customHeight="false" outlineLevel="0" collapsed="false">
      <c r="B13" s="17" t="s">
        <v>25</v>
      </c>
      <c r="C13" s="18"/>
      <c r="D13" s="4" t="n">
        <f aca="false">SUM(D7:D12)</f>
        <v>270</v>
      </c>
      <c r="E13" s="4" t="n">
        <f aca="false">SUM(E7:E12)</f>
        <v>0</v>
      </c>
      <c r="F13" s="4" t="n">
        <f aca="false">SUM(F7:F12)</f>
        <v>0</v>
      </c>
      <c r="G13" s="4" t="n">
        <f aca="false">SUM(G7:G12)</f>
        <v>0</v>
      </c>
      <c r="H13" s="4" t="n">
        <f aca="false">SUM(H7:H12)</f>
        <v>270</v>
      </c>
      <c r="I13" s="19" t="n">
        <f aca="false">IF(D13=0,0,E13/D13)</f>
        <v>0</v>
      </c>
      <c r="J13" s="4" t="n">
        <f aca="false">SUM(J7:J12)</f>
        <v>242.5</v>
      </c>
      <c r="K13" s="4" t="n">
        <f aca="false">SUM(K7:K12)</f>
        <v>0</v>
      </c>
    </row>
    <row r="15" customFormat="false" ht="15" hidden="false" customHeight="false" outlineLevel="0" collapsed="false">
      <c r="B15" s="20" t="s">
        <v>26</v>
      </c>
    </row>
    <row r="16" customFormat="false" ht="15" hidden="false" customHeight="false" outlineLevel="0" collapsed="false">
      <c r="B16" s="21" t="s">
        <v>27</v>
      </c>
    </row>
    <row r="17" customFormat="false" ht="15" hidden="false" customHeight="false" outlineLevel="0" collapsed="false">
      <c r="B17" s="21" t="s">
        <v>28</v>
      </c>
    </row>
    <row r="18" customFormat="false" ht="15" hidden="false" customHeight="false" outlineLevel="0" collapsed="false">
      <c r="B18" s="21" t="s">
        <v>29</v>
      </c>
    </row>
    <row r="19" customFormat="false" ht="15" hidden="false" customHeight="false" outlineLevel="0" collapsed="false">
      <c r="B19" s="21" t="s">
        <v>30</v>
      </c>
    </row>
    <row r="20" customFormat="false" ht="15" hidden="false" customHeight="false" outlineLevel="0" collapsed="false">
      <c r="B20" s="21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28"/>
  </cols>
  <sheetData>
    <row r="1" customFormat="false" ht="23.85" hidden="false" customHeight="false" outlineLevel="0" collapsed="false">
      <c r="A1" s="22" t="s">
        <v>32</v>
      </c>
      <c r="B1" s="22" t="s">
        <v>33</v>
      </c>
      <c r="C1" s="22" t="s">
        <v>34</v>
      </c>
      <c r="D1" s="22" t="s">
        <v>35</v>
      </c>
      <c r="E1" s="22" t="s">
        <v>36</v>
      </c>
      <c r="F1" s="22" t="s">
        <v>37</v>
      </c>
      <c r="G1" s="22" t="s">
        <v>38</v>
      </c>
      <c r="H1" s="22" t="s">
        <v>39</v>
      </c>
      <c r="I1" s="22" t="s">
        <v>40</v>
      </c>
    </row>
    <row r="2" customFormat="false" ht="15" hidden="false" customHeight="false" outlineLevel="0" collapsed="false">
      <c r="A2" s="23" t="s">
        <v>41</v>
      </c>
      <c r="B2" s="24" t="s">
        <v>42</v>
      </c>
      <c r="C2" s="6" t="s">
        <v>43</v>
      </c>
      <c r="D2" s="25" t="s">
        <v>44</v>
      </c>
      <c r="E2" s="7" t="n">
        <v>1</v>
      </c>
      <c r="F2" s="7" t="n">
        <v>0.5</v>
      </c>
      <c r="G2" s="26" t="s">
        <v>45</v>
      </c>
      <c r="H2" s="6"/>
      <c r="I2" s="6"/>
    </row>
    <row r="3" customFormat="false" ht="15" hidden="false" customHeight="false" outlineLevel="0" collapsed="false">
      <c r="A3" s="16" t="s">
        <v>46</v>
      </c>
      <c r="B3" s="27" t="s">
        <v>42</v>
      </c>
      <c r="C3" s="10" t="s">
        <v>47</v>
      </c>
      <c r="D3" s="25" t="s">
        <v>44</v>
      </c>
      <c r="E3" s="11" t="n">
        <v>1</v>
      </c>
      <c r="F3" s="11" t="n">
        <v>0.5</v>
      </c>
      <c r="G3" s="28" t="s">
        <v>45</v>
      </c>
      <c r="H3" s="10"/>
      <c r="I3" s="10"/>
    </row>
    <row r="4" customFormat="false" ht="15" hidden="false" customHeight="false" outlineLevel="0" collapsed="false">
      <c r="A4" s="23" t="s">
        <v>48</v>
      </c>
      <c r="B4" s="24" t="s">
        <v>42</v>
      </c>
      <c r="C4" s="6" t="s">
        <v>49</v>
      </c>
      <c r="D4" s="25" t="s">
        <v>44</v>
      </c>
      <c r="E4" s="7" t="n">
        <v>1</v>
      </c>
      <c r="F4" s="7" t="n">
        <v>1</v>
      </c>
      <c r="G4" s="26" t="s">
        <v>45</v>
      </c>
      <c r="H4" s="6"/>
      <c r="I4" s="6"/>
    </row>
    <row r="5" customFormat="false" ht="23.85" hidden="false" customHeight="false" outlineLevel="0" collapsed="false">
      <c r="A5" s="16" t="s">
        <v>50</v>
      </c>
      <c r="B5" s="27" t="s">
        <v>42</v>
      </c>
      <c r="C5" s="10" t="s">
        <v>51</v>
      </c>
      <c r="D5" s="25" t="s">
        <v>44</v>
      </c>
      <c r="E5" s="11" t="n">
        <v>1</v>
      </c>
      <c r="F5" s="11" t="n">
        <v>1</v>
      </c>
      <c r="G5" s="28" t="s">
        <v>45</v>
      </c>
      <c r="H5" s="10"/>
      <c r="I5" s="10"/>
    </row>
    <row r="6" customFormat="false" ht="15" hidden="false" customHeight="false" outlineLevel="0" collapsed="false">
      <c r="A6" s="23" t="s">
        <v>52</v>
      </c>
      <c r="B6" s="24" t="s">
        <v>53</v>
      </c>
      <c r="C6" s="6" t="s">
        <v>54</v>
      </c>
      <c r="D6" s="25" t="s">
        <v>44</v>
      </c>
      <c r="E6" s="7" t="n">
        <v>1</v>
      </c>
      <c r="F6" s="7" t="n">
        <v>0.5</v>
      </c>
      <c r="G6" s="26" t="s">
        <v>45</v>
      </c>
      <c r="H6" s="6"/>
      <c r="I6" s="6"/>
    </row>
    <row r="7" customFormat="false" ht="15" hidden="false" customHeight="false" outlineLevel="0" collapsed="false">
      <c r="A7" s="16" t="s">
        <v>55</v>
      </c>
      <c r="B7" s="27" t="s">
        <v>53</v>
      </c>
      <c r="C7" s="10" t="s">
        <v>56</v>
      </c>
      <c r="D7" s="25" t="s">
        <v>44</v>
      </c>
      <c r="E7" s="11" t="n">
        <v>1</v>
      </c>
      <c r="F7" s="11" t="n">
        <v>0.5</v>
      </c>
      <c r="G7" s="28" t="s">
        <v>45</v>
      </c>
      <c r="H7" s="10"/>
      <c r="I7" s="10"/>
    </row>
    <row r="8" customFormat="false" ht="15" hidden="false" customHeight="false" outlineLevel="0" collapsed="false">
      <c r="A8" s="23" t="s">
        <v>57</v>
      </c>
      <c r="B8" s="24" t="s">
        <v>53</v>
      </c>
      <c r="C8" s="6" t="s">
        <v>58</v>
      </c>
      <c r="D8" s="25" t="s">
        <v>44</v>
      </c>
      <c r="E8" s="7" t="n">
        <v>1</v>
      </c>
      <c r="F8" s="7" t="n">
        <v>1</v>
      </c>
      <c r="G8" s="26" t="s">
        <v>45</v>
      </c>
      <c r="H8" s="6"/>
      <c r="I8" s="6"/>
    </row>
    <row r="9" customFormat="false" ht="15" hidden="false" customHeight="false" outlineLevel="0" collapsed="false">
      <c r="A9" s="16" t="s">
        <v>59</v>
      </c>
      <c r="B9" s="27" t="s">
        <v>53</v>
      </c>
      <c r="C9" s="10" t="s">
        <v>60</v>
      </c>
      <c r="D9" s="25" t="s">
        <v>44</v>
      </c>
      <c r="E9" s="11" t="n">
        <v>1</v>
      </c>
      <c r="F9" s="11" t="n">
        <v>1.5</v>
      </c>
      <c r="G9" s="28" t="s">
        <v>45</v>
      </c>
      <c r="H9" s="10"/>
      <c r="I9" s="10"/>
    </row>
    <row r="10" customFormat="false" ht="15" hidden="false" customHeight="false" outlineLevel="0" collapsed="false">
      <c r="A10" s="23" t="s">
        <v>61</v>
      </c>
      <c r="B10" s="24" t="s">
        <v>62</v>
      </c>
      <c r="C10" s="6" t="s">
        <v>63</v>
      </c>
      <c r="D10" s="25" t="s">
        <v>44</v>
      </c>
      <c r="E10" s="7" t="n">
        <v>1</v>
      </c>
      <c r="F10" s="7" t="n">
        <v>0.5</v>
      </c>
      <c r="G10" s="26" t="s">
        <v>45</v>
      </c>
      <c r="H10" s="6"/>
      <c r="I10" s="6"/>
    </row>
    <row r="11" customFormat="false" ht="15" hidden="false" customHeight="false" outlineLevel="0" collapsed="false">
      <c r="A11" s="16" t="s">
        <v>64</v>
      </c>
      <c r="B11" s="27" t="s">
        <v>62</v>
      </c>
      <c r="C11" s="10" t="s">
        <v>65</v>
      </c>
      <c r="D11" s="25" t="s">
        <v>44</v>
      </c>
      <c r="E11" s="11" t="n">
        <v>1</v>
      </c>
      <c r="F11" s="11" t="n">
        <v>1</v>
      </c>
      <c r="G11" s="28" t="s">
        <v>45</v>
      </c>
      <c r="H11" s="10"/>
      <c r="I11" s="10"/>
    </row>
    <row r="12" customFormat="false" ht="15" hidden="false" customHeight="false" outlineLevel="0" collapsed="false">
      <c r="A12" s="23" t="s">
        <v>66</v>
      </c>
      <c r="B12" s="24" t="s">
        <v>62</v>
      </c>
      <c r="C12" s="6" t="s">
        <v>67</v>
      </c>
      <c r="D12" s="25" t="s">
        <v>44</v>
      </c>
      <c r="E12" s="7" t="n">
        <v>1</v>
      </c>
      <c r="F12" s="7" t="n">
        <v>0.5</v>
      </c>
      <c r="G12" s="26" t="s">
        <v>45</v>
      </c>
      <c r="H12" s="6"/>
      <c r="I12" s="6"/>
    </row>
    <row r="13" customFormat="false" ht="15" hidden="false" customHeight="false" outlineLevel="0" collapsed="false">
      <c r="A13" s="16" t="s">
        <v>68</v>
      </c>
      <c r="B13" s="27" t="s">
        <v>62</v>
      </c>
      <c r="C13" s="10" t="s">
        <v>69</v>
      </c>
      <c r="D13" s="25" t="s">
        <v>44</v>
      </c>
      <c r="E13" s="11" t="n">
        <v>1</v>
      </c>
      <c r="F13" s="11" t="n">
        <v>0.5</v>
      </c>
      <c r="G13" s="28" t="s">
        <v>45</v>
      </c>
      <c r="H13" s="10"/>
      <c r="I13" s="10"/>
    </row>
    <row r="14" customFormat="false" ht="15" hidden="false" customHeight="false" outlineLevel="0" collapsed="false">
      <c r="A14" s="23" t="s">
        <v>70</v>
      </c>
      <c r="B14" s="24" t="s">
        <v>71</v>
      </c>
      <c r="C14" s="6" t="s">
        <v>72</v>
      </c>
      <c r="D14" s="25" t="s">
        <v>44</v>
      </c>
      <c r="E14" s="7" t="n">
        <v>1</v>
      </c>
      <c r="F14" s="7" t="n">
        <v>1</v>
      </c>
      <c r="G14" s="26" t="s">
        <v>45</v>
      </c>
      <c r="H14" s="6"/>
      <c r="I14" s="6"/>
    </row>
    <row r="15" customFormat="false" ht="15" hidden="false" customHeight="false" outlineLevel="0" collapsed="false">
      <c r="A15" s="16" t="s">
        <v>73</v>
      </c>
      <c r="B15" s="27" t="s">
        <v>71</v>
      </c>
      <c r="C15" s="10" t="s">
        <v>74</v>
      </c>
      <c r="D15" s="25" t="s">
        <v>44</v>
      </c>
      <c r="E15" s="11" t="n">
        <v>1</v>
      </c>
      <c r="F15" s="11" t="n">
        <v>1</v>
      </c>
      <c r="G15" s="28" t="s">
        <v>45</v>
      </c>
      <c r="H15" s="10"/>
      <c r="I15" s="10"/>
    </row>
    <row r="16" customFormat="false" ht="15" hidden="false" customHeight="false" outlineLevel="0" collapsed="false">
      <c r="A16" s="23" t="s">
        <v>75</v>
      </c>
      <c r="B16" s="24" t="s">
        <v>71</v>
      </c>
      <c r="C16" s="6" t="s">
        <v>76</v>
      </c>
      <c r="D16" s="25" t="s">
        <v>44</v>
      </c>
      <c r="E16" s="7" t="n">
        <v>1</v>
      </c>
      <c r="F16" s="7" t="n">
        <v>1</v>
      </c>
      <c r="G16" s="26" t="s">
        <v>45</v>
      </c>
      <c r="H16" s="6"/>
      <c r="I16" s="6"/>
    </row>
    <row r="17" customFormat="false" ht="15" hidden="false" customHeight="false" outlineLevel="0" collapsed="false">
      <c r="A17" s="16" t="s">
        <v>77</v>
      </c>
      <c r="B17" s="27" t="s">
        <v>71</v>
      </c>
      <c r="C17" s="10" t="s">
        <v>78</v>
      </c>
      <c r="D17" s="25" t="s">
        <v>44</v>
      </c>
      <c r="E17" s="11" t="n">
        <v>1</v>
      </c>
      <c r="F17" s="11" t="n">
        <v>1</v>
      </c>
      <c r="G17" s="28" t="s">
        <v>45</v>
      </c>
      <c r="H17" s="10"/>
      <c r="I17" s="10"/>
    </row>
    <row r="18" customFormat="false" ht="23.85" hidden="false" customHeight="false" outlineLevel="0" collapsed="false">
      <c r="A18" s="23" t="s">
        <v>79</v>
      </c>
      <c r="B18" s="24" t="s">
        <v>80</v>
      </c>
      <c r="C18" s="6" t="s">
        <v>81</v>
      </c>
      <c r="D18" s="25" t="s">
        <v>44</v>
      </c>
      <c r="E18" s="7" t="n">
        <v>2</v>
      </c>
      <c r="F18" s="7" t="n">
        <v>1</v>
      </c>
      <c r="G18" s="26" t="s">
        <v>82</v>
      </c>
      <c r="H18" s="6"/>
      <c r="I18" s="6"/>
    </row>
    <row r="19" customFormat="false" ht="15" hidden="false" customHeight="false" outlineLevel="0" collapsed="false">
      <c r="A19" s="16" t="s">
        <v>83</v>
      </c>
      <c r="B19" s="27" t="s">
        <v>80</v>
      </c>
      <c r="C19" s="10" t="s">
        <v>84</v>
      </c>
      <c r="D19" s="25" t="s">
        <v>44</v>
      </c>
      <c r="E19" s="11" t="n">
        <v>2</v>
      </c>
      <c r="F19" s="11" t="n">
        <v>1</v>
      </c>
      <c r="G19" s="28" t="s">
        <v>82</v>
      </c>
      <c r="H19" s="10"/>
      <c r="I19" s="10"/>
    </row>
    <row r="20" customFormat="false" ht="23.85" hidden="false" customHeight="false" outlineLevel="0" collapsed="false">
      <c r="A20" s="23" t="s">
        <v>85</v>
      </c>
      <c r="B20" s="24" t="s">
        <v>80</v>
      </c>
      <c r="C20" s="6" t="s">
        <v>86</v>
      </c>
      <c r="D20" s="25" t="s">
        <v>44</v>
      </c>
      <c r="E20" s="7" t="n">
        <v>2</v>
      </c>
      <c r="F20" s="7" t="n">
        <v>1</v>
      </c>
      <c r="G20" s="26" t="s">
        <v>82</v>
      </c>
      <c r="H20" s="6"/>
      <c r="I20" s="6"/>
    </row>
    <row r="21" customFormat="false" ht="23.85" hidden="false" customHeight="false" outlineLevel="0" collapsed="false">
      <c r="A21" s="16" t="s">
        <v>87</v>
      </c>
      <c r="B21" s="27" t="s">
        <v>80</v>
      </c>
      <c r="C21" s="10" t="s">
        <v>88</v>
      </c>
      <c r="D21" s="25" t="s">
        <v>44</v>
      </c>
      <c r="E21" s="11" t="n">
        <v>2</v>
      </c>
      <c r="F21" s="11" t="n">
        <v>0.5</v>
      </c>
      <c r="G21" s="28" t="s">
        <v>82</v>
      </c>
      <c r="H21" s="10"/>
      <c r="I21" s="10"/>
    </row>
    <row r="22" customFormat="false" ht="23.85" hidden="false" customHeight="false" outlineLevel="0" collapsed="false">
      <c r="A22" s="23" t="s">
        <v>89</v>
      </c>
      <c r="B22" s="24" t="s">
        <v>80</v>
      </c>
      <c r="C22" s="6" t="s">
        <v>90</v>
      </c>
      <c r="D22" s="25" t="s">
        <v>44</v>
      </c>
      <c r="E22" s="7" t="n">
        <v>2</v>
      </c>
      <c r="F22" s="7" t="n">
        <v>0.5</v>
      </c>
      <c r="G22" s="26" t="s">
        <v>82</v>
      </c>
      <c r="H22" s="6"/>
      <c r="I22" s="6"/>
    </row>
    <row r="23" customFormat="false" ht="15" hidden="false" customHeight="false" outlineLevel="0" collapsed="false">
      <c r="A23" s="16" t="s">
        <v>91</v>
      </c>
      <c r="B23" s="27" t="s">
        <v>92</v>
      </c>
      <c r="C23" s="10" t="s">
        <v>93</v>
      </c>
      <c r="D23" s="25" t="s">
        <v>44</v>
      </c>
      <c r="E23" s="11" t="n">
        <v>2</v>
      </c>
      <c r="F23" s="11" t="n">
        <v>1</v>
      </c>
      <c r="G23" s="28" t="s">
        <v>82</v>
      </c>
      <c r="H23" s="10"/>
      <c r="I23" s="10"/>
    </row>
    <row r="24" customFormat="false" ht="15" hidden="false" customHeight="false" outlineLevel="0" collapsed="false">
      <c r="A24" s="23" t="s">
        <v>94</v>
      </c>
      <c r="B24" s="24" t="s">
        <v>92</v>
      </c>
      <c r="C24" s="6" t="s">
        <v>95</v>
      </c>
      <c r="D24" s="25" t="s">
        <v>44</v>
      </c>
      <c r="E24" s="7" t="n">
        <v>2</v>
      </c>
      <c r="F24" s="7" t="n">
        <v>1</v>
      </c>
      <c r="G24" s="26" t="s">
        <v>82</v>
      </c>
      <c r="H24" s="6"/>
      <c r="I24" s="6"/>
    </row>
    <row r="25" customFormat="false" ht="15" hidden="false" customHeight="false" outlineLevel="0" collapsed="false">
      <c r="A25" s="16" t="s">
        <v>96</v>
      </c>
      <c r="B25" s="27" t="s">
        <v>92</v>
      </c>
      <c r="C25" s="10" t="s">
        <v>97</v>
      </c>
      <c r="D25" s="25" t="s">
        <v>44</v>
      </c>
      <c r="E25" s="11" t="n">
        <v>2</v>
      </c>
      <c r="F25" s="11" t="n">
        <v>0.5</v>
      </c>
      <c r="G25" s="28" t="s">
        <v>82</v>
      </c>
      <c r="H25" s="10"/>
      <c r="I25" s="10"/>
    </row>
    <row r="26" customFormat="false" ht="15" hidden="false" customHeight="false" outlineLevel="0" collapsed="false">
      <c r="A26" s="23" t="s">
        <v>98</v>
      </c>
      <c r="B26" s="24" t="s">
        <v>92</v>
      </c>
      <c r="C26" s="6" t="s">
        <v>99</v>
      </c>
      <c r="D26" s="25" t="s">
        <v>44</v>
      </c>
      <c r="E26" s="7" t="n">
        <v>2</v>
      </c>
      <c r="F26" s="7" t="n">
        <v>1</v>
      </c>
      <c r="G26" s="26" t="s">
        <v>82</v>
      </c>
      <c r="H26" s="6"/>
      <c r="I26" s="6"/>
    </row>
    <row r="27" customFormat="false" ht="23.85" hidden="false" customHeight="false" outlineLevel="0" collapsed="false">
      <c r="A27" s="16" t="s">
        <v>100</v>
      </c>
      <c r="B27" s="27" t="s">
        <v>92</v>
      </c>
      <c r="C27" s="10" t="s">
        <v>101</v>
      </c>
      <c r="D27" s="25" t="s">
        <v>44</v>
      </c>
      <c r="E27" s="11" t="n">
        <v>2</v>
      </c>
      <c r="F27" s="11" t="n">
        <v>0.5</v>
      </c>
      <c r="G27" s="28" t="s">
        <v>82</v>
      </c>
      <c r="H27" s="10"/>
      <c r="I27" s="10"/>
    </row>
    <row r="28" customFormat="false" ht="15" hidden="false" customHeight="false" outlineLevel="0" collapsed="false">
      <c r="A28" s="23" t="s">
        <v>102</v>
      </c>
      <c r="B28" s="24" t="s">
        <v>103</v>
      </c>
      <c r="C28" s="6" t="s">
        <v>104</v>
      </c>
      <c r="D28" s="25" t="s">
        <v>44</v>
      </c>
      <c r="E28" s="7" t="n">
        <v>2</v>
      </c>
      <c r="F28" s="7" t="n">
        <v>1</v>
      </c>
      <c r="G28" s="26" t="s">
        <v>82</v>
      </c>
      <c r="H28" s="6"/>
      <c r="I28" s="6"/>
    </row>
    <row r="29" customFormat="false" ht="23.85" hidden="false" customHeight="false" outlineLevel="0" collapsed="false">
      <c r="A29" s="16" t="s">
        <v>105</v>
      </c>
      <c r="B29" s="27" t="s">
        <v>103</v>
      </c>
      <c r="C29" s="10" t="s">
        <v>106</v>
      </c>
      <c r="D29" s="25" t="s">
        <v>44</v>
      </c>
      <c r="E29" s="11" t="n">
        <v>2</v>
      </c>
      <c r="F29" s="11" t="n">
        <v>1</v>
      </c>
      <c r="G29" s="28" t="s">
        <v>82</v>
      </c>
      <c r="H29" s="10"/>
      <c r="I29" s="10"/>
    </row>
    <row r="30" customFormat="false" ht="23.85" hidden="false" customHeight="false" outlineLevel="0" collapsed="false">
      <c r="A30" s="23" t="s">
        <v>107</v>
      </c>
      <c r="B30" s="24" t="s">
        <v>103</v>
      </c>
      <c r="C30" s="6" t="s">
        <v>108</v>
      </c>
      <c r="D30" s="25" t="s">
        <v>44</v>
      </c>
      <c r="E30" s="7" t="n">
        <v>2</v>
      </c>
      <c r="F30" s="7" t="n">
        <v>1.5</v>
      </c>
      <c r="G30" s="26" t="s">
        <v>82</v>
      </c>
      <c r="H30" s="6"/>
      <c r="I30" s="6"/>
    </row>
    <row r="31" customFormat="false" ht="15" hidden="false" customHeight="false" outlineLevel="0" collapsed="false">
      <c r="A31" s="16" t="s">
        <v>109</v>
      </c>
      <c r="B31" s="27" t="s">
        <v>103</v>
      </c>
      <c r="C31" s="10" t="s">
        <v>110</v>
      </c>
      <c r="D31" s="25" t="s">
        <v>44</v>
      </c>
      <c r="E31" s="11" t="n">
        <v>2</v>
      </c>
      <c r="F31" s="11" t="n">
        <v>1</v>
      </c>
      <c r="G31" s="28" t="s">
        <v>82</v>
      </c>
      <c r="H31" s="10"/>
      <c r="I31" s="10"/>
    </row>
    <row r="32" customFormat="false" ht="15" hidden="false" customHeight="false" outlineLevel="0" collapsed="false">
      <c r="A32" s="23" t="s">
        <v>111</v>
      </c>
      <c r="B32" s="24" t="s">
        <v>112</v>
      </c>
      <c r="C32" s="6" t="s">
        <v>113</v>
      </c>
      <c r="D32" s="25" t="s">
        <v>44</v>
      </c>
      <c r="E32" s="7" t="n">
        <v>2</v>
      </c>
      <c r="F32" s="7" t="n">
        <v>1</v>
      </c>
      <c r="G32" s="26" t="s">
        <v>82</v>
      </c>
      <c r="H32" s="6"/>
      <c r="I32" s="6"/>
    </row>
    <row r="33" customFormat="false" ht="15" hidden="false" customHeight="false" outlineLevel="0" collapsed="false">
      <c r="A33" s="16" t="s">
        <v>114</v>
      </c>
      <c r="B33" s="27" t="s">
        <v>112</v>
      </c>
      <c r="C33" s="10" t="s">
        <v>115</v>
      </c>
      <c r="D33" s="25" t="s">
        <v>44</v>
      </c>
      <c r="E33" s="11" t="n">
        <v>2</v>
      </c>
      <c r="F33" s="11" t="n">
        <v>1.5</v>
      </c>
      <c r="G33" s="28" t="s">
        <v>82</v>
      </c>
      <c r="H33" s="10"/>
      <c r="I33" s="10"/>
    </row>
    <row r="34" customFormat="false" ht="15" hidden="false" customHeight="false" outlineLevel="0" collapsed="false">
      <c r="A34" s="23" t="s">
        <v>116</v>
      </c>
      <c r="B34" s="24" t="s">
        <v>112</v>
      </c>
      <c r="C34" s="6" t="s">
        <v>117</v>
      </c>
      <c r="D34" s="25" t="s">
        <v>44</v>
      </c>
      <c r="E34" s="7" t="n">
        <v>2</v>
      </c>
      <c r="F34" s="7" t="n">
        <v>1</v>
      </c>
      <c r="G34" s="26" t="s">
        <v>82</v>
      </c>
      <c r="H34" s="6"/>
      <c r="I34" s="6"/>
    </row>
    <row r="35" customFormat="false" ht="15" hidden="false" customHeight="false" outlineLevel="0" collapsed="false">
      <c r="A35" s="16" t="s">
        <v>118</v>
      </c>
      <c r="B35" s="27" t="s">
        <v>112</v>
      </c>
      <c r="C35" s="10" t="s">
        <v>119</v>
      </c>
      <c r="D35" s="25" t="s">
        <v>44</v>
      </c>
      <c r="E35" s="11" t="n">
        <v>2</v>
      </c>
      <c r="F35" s="11" t="n">
        <v>1</v>
      </c>
      <c r="G35" s="28" t="s">
        <v>82</v>
      </c>
      <c r="H35" s="10"/>
      <c r="I35" s="10"/>
    </row>
    <row r="36" customFormat="false" ht="15" hidden="false" customHeight="false" outlineLevel="0" collapsed="false">
      <c r="A36" s="23" t="s">
        <v>120</v>
      </c>
      <c r="B36" s="24" t="s">
        <v>121</v>
      </c>
      <c r="C36" s="6" t="s">
        <v>122</v>
      </c>
      <c r="D36" s="29" t="s">
        <v>123</v>
      </c>
      <c r="E36" s="7" t="n">
        <v>3</v>
      </c>
      <c r="F36" s="7" t="n">
        <v>1</v>
      </c>
      <c r="G36" s="26" t="s">
        <v>82</v>
      </c>
      <c r="H36" s="6"/>
      <c r="I36" s="6"/>
    </row>
    <row r="37" customFormat="false" ht="23.85" hidden="false" customHeight="false" outlineLevel="0" collapsed="false">
      <c r="A37" s="16" t="s">
        <v>124</v>
      </c>
      <c r="B37" s="27" t="s">
        <v>121</v>
      </c>
      <c r="C37" s="10" t="s">
        <v>125</v>
      </c>
      <c r="D37" s="29" t="s">
        <v>123</v>
      </c>
      <c r="E37" s="11" t="n">
        <v>3</v>
      </c>
      <c r="F37" s="11" t="n">
        <v>1</v>
      </c>
      <c r="G37" s="28" t="s">
        <v>82</v>
      </c>
      <c r="H37" s="10"/>
      <c r="I37" s="10"/>
    </row>
    <row r="38" customFormat="false" ht="15" hidden="false" customHeight="false" outlineLevel="0" collapsed="false">
      <c r="A38" s="23" t="s">
        <v>126</v>
      </c>
      <c r="B38" s="24" t="s">
        <v>121</v>
      </c>
      <c r="C38" s="6" t="s">
        <v>127</v>
      </c>
      <c r="D38" s="29" t="s">
        <v>123</v>
      </c>
      <c r="E38" s="7" t="n">
        <v>3</v>
      </c>
      <c r="F38" s="7" t="n">
        <v>1</v>
      </c>
      <c r="G38" s="26" t="s">
        <v>82</v>
      </c>
      <c r="H38" s="6"/>
      <c r="I38" s="6"/>
    </row>
    <row r="39" customFormat="false" ht="15" hidden="false" customHeight="false" outlineLevel="0" collapsed="false">
      <c r="A39" s="16" t="s">
        <v>128</v>
      </c>
      <c r="B39" s="27" t="s">
        <v>129</v>
      </c>
      <c r="C39" s="10" t="s">
        <v>130</v>
      </c>
      <c r="D39" s="29" t="s">
        <v>123</v>
      </c>
      <c r="E39" s="11" t="n">
        <v>3</v>
      </c>
      <c r="F39" s="11" t="n">
        <v>1</v>
      </c>
      <c r="G39" s="28" t="s">
        <v>82</v>
      </c>
      <c r="H39" s="10"/>
      <c r="I39" s="10"/>
    </row>
    <row r="40" customFormat="false" ht="15" hidden="false" customHeight="false" outlineLevel="0" collapsed="false">
      <c r="A40" s="23" t="s">
        <v>131</v>
      </c>
      <c r="B40" s="24" t="s">
        <v>129</v>
      </c>
      <c r="C40" s="6" t="s">
        <v>132</v>
      </c>
      <c r="D40" s="29" t="s">
        <v>123</v>
      </c>
      <c r="E40" s="7" t="n">
        <v>3</v>
      </c>
      <c r="F40" s="7" t="n">
        <v>0.5</v>
      </c>
      <c r="G40" s="26" t="s">
        <v>82</v>
      </c>
      <c r="H40" s="6"/>
      <c r="I40" s="6"/>
    </row>
    <row r="41" customFormat="false" ht="15" hidden="false" customHeight="false" outlineLevel="0" collapsed="false">
      <c r="A41" s="16" t="s">
        <v>133</v>
      </c>
      <c r="B41" s="27" t="s">
        <v>129</v>
      </c>
      <c r="C41" s="10" t="s">
        <v>134</v>
      </c>
      <c r="D41" s="29" t="s">
        <v>123</v>
      </c>
      <c r="E41" s="11" t="n">
        <v>3</v>
      </c>
      <c r="F41" s="11" t="n">
        <v>1</v>
      </c>
      <c r="G41" s="28" t="s">
        <v>82</v>
      </c>
      <c r="H41" s="10"/>
      <c r="I41" s="10"/>
    </row>
    <row r="42" customFormat="false" ht="15" hidden="false" customHeight="false" outlineLevel="0" collapsed="false">
      <c r="A42" s="23" t="s">
        <v>135</v>
      </c>
      <c r="B42" s="24" t="s">
        <v>136</v>
      </c>
      <c r="C42" s="6" t="s">
        <v>137</v>
      </c>
      <c r="D42" s="25" t="s">
        <v>44</v>
      </c>
      <c r="E42" s="7" t="n">
        <v>3</v>
      </c>
      <c r="F42" s="7" t="n">
        <v>1</v>
      </c>
      <c r="G42" s="26" t="s">
        <v>82</v>
      </c>
      <c r="H42" s="6"/>
      <c r="I42" s="6"/>
    </row>
    <row r="43" customFormat="false" ht="15" hidden="false" customHeight="false" outlineLevel="0" collapsed="false">
      <c r="A43" s="16" t="s">
        <v>138</v>
      </c>
      <c r="B43" s="27" t="s">
        <v>136</v>
      </c>
      <c r="C43" s="10" t="s">
        <v>139</v>
      </c>
      <c r="D43" s="25" t="s">
        <v>44</v>
      </c>
      <c r="E43" s="11" t="n">
        <v>3</v>
      </c>
      <c r="F43" s="11" t="n">
        <v>0.5</v>
      </c>
      <c r="G43" s="28" t="s">
        <v>82</v>
      </c>
      <c r="H43" s="10"/>
      <c r="I43" s="10"/>
    </row>
    <row r="44" customFormat="false" ht="23.85" hidden="false" customHeight="false" outlineLevel="0" collapsed="false">
      <c r="A44" s="23" t="s">
        <v>140</v>
      </c>
      <c r="B44" s="24" t="s">
        <v>141</v>
      </c>
      <c r="C44" s="6" t="s">
        <v>142</v>
      </c>
      <c r="D44" s="25" t="s">
        <v>44</v>
      </c>
      <c r="E44" s="7" t="n">
        <v>3</v>
      </c>
      <c r="F44" s="7" t="n">
        <v>1</v>
      </c>
      <c r="G44" s="26" t="s">
        <v>82</v>
      </c>
      <c r="H44" s="6"/>
      <c r="I44" s="6"/>
    </row>
    <row r="45" customFormat="false" ht="15" hidden="false" customHeight="false" outlineLevel="0" collapsed="false">
      <c r="A45" s="16" t="s">
        <v>143</v>
      </c>
      <c r="B45" s="27" t="s">
        <v>141</v>
      </c>
      <c r="C45" s="10" t="s">
        <v>144</v>
      </c>
      <c r="D45" s="25" t="s">
        <v>44</v>
      </c>
      <c r="E45" s="11" t="n">
        <v>3</v>
      </c>
      <c r="F45" s="11" t="n">
        <v>2</v>
      </c>
      <c r="G45" s="28" t="s">
        <v>82</v>
      </c>
      <c r="H45" s="10"/>
      <c r="I45" s="10"/>
    </row>
    <row r="46" customFormat="false" ht="23.85" hidden="false" customHeight="false" outlineLevel="0" collapsed="false">
      <c r="A46" s="23" t="s">
        <v>145</v>
      </c>
      <c r="B46" s="24" t="s">
        <v>141</v>
      </c>
      <c r="C46" s="6" t="s">
        <v>146</v>
      </c>
      <c r="D46" s="25" t="s">
        <v>44</v>
      </c>
      <c r="E46" s="7" t="n">
        <v>3</v>
      </c>
      <c r="F46" s="7" t="n">
        <v>1</v>
      </c>
      <c r="G46" s="26" t="s">
        <v>82</v>
      </c>
      <c r="H46" s="6"/>
      <c r="I46" s="6"/>
    </row>
    <row r="48" customFormat="false" ht="15" hidden="false" customHeight="false" outlineLevel="0" collapsed="false">
      <c r="C48" s="30" t="s">
        <v>147</v>
      </c>
      <c r="F48" s="31" t="n">
        <f aca="false">SUM(F2:F46)</f>
        <v>41</v>
      </c>
    </row>
    <row r="49" customFormat="false" ht="15" hidden="false" customHeight="false" outlineLevel="0" collapsed="false">
      <c r="C49" s="30" t="s">
        <v>148</v>
      </c>
      <c r="F49" s="31" t="n">
        <f aca="false">SUMIF(G2:G46,"Feito",F2:F46)</f>
        <v>0</v>
      </c>
    </row>
  </sheetData>
  <autoFilter ref="A1:I46"/>
  <dataValidations count="1">
    <dataValidation allowBlank="true" errorStyle="stop" operator="between" showDropDown="false" showErrorMessage="false" showInputMessage="false" sqref="G2:G46" type="list">
      <formula1>"Backlog,A Fazer,Fazendo,Em Review,Feito"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28"/>
  </cols>
  <sheetData>
    <row r="1" customFormat="false" ht="23.85" hidden="false" customHeight="false" outlineLevel="0" collapsed="false">
      <c r="A1" s="32" t="s">
        <v>32</v>
      </c>
      <c r="B1" s="32" t="s">
        <v>33</v>
      </c>
      <c r="C1" s="32" t="s">
        <v>34</v>
      </c>
      <c r="D1" s="32" t="s">
        <v>35</v>
      </c>
      <c r="E1" s="32" t="s">
        <v>36</v>
      </c>
      <c r="F1" s="32" t="s">
        <v>37</v>
      </c>
      <c r="G1" s="32" t="s">
        <v>38</v>
      </c>
      <c r="H1" s="32" t="s">
        <v>39</v>
      </c>
      <c r="I1" s="32" t="s">
        <v>40</v>
      </c>
    </row>
    <row r="2" customFormat="false" ht="15" hidden="false" customHeight="false" outlineLevel="0" collapsed="false">
      <c r="A2" s="23" t="s">
        <v>149</v>
      </c>
      <c r="B2" s="24" t="s">
        <v>150</v>
      </c>
      <c r="C2" s="6" t="s">
        <v>43</v>
      </c>
      <c r="D2" s="25" t="s">
        <v>44</v>
      </c>
      <c r="E2" s="7" t="n">
        <v>1</v>
      </c>
      <c r="F2" s="7" t="n">
        <v>0.5</v>
      </c>
      <c r="G2" s="26" t="s">
        <v>45</v>
      </c>
      <c r="H2" s="6"/>
      <c r="I2" s="6"/>
    </row>
    <row r="3" customFormat="false" ht="15" hidden="false" customHeight="false" outlineLevel="0" collapsed="false">
      <c r="A3" s="16" t="s">
        <v>151</v>
      </c>
      <c r="B3" s="27" t="s">
        <v>150</v>
      </c>
      <c r="C3" s="10" t="s">
        <v>47</v>
      </c>
      <c r="D3" s="25" t="s">
        <v>44</v>
      </c>
      <c r="E3" s="11" t="n">
        <v>1</v>
      </c>
      <c r="F3" s="11" t="n">
        <v>0.5</v>
      </c>
      <c r="G3" s="28" t="s">
        <v>45</v>
      </c>
      <c r="H3" s="10"/>
      <c r="I3" s="10"/>
    </row>
    <row r="4" customFormat="false" ht="15" hidden="false" customHeight="false" outlineLevel="0" collapsed="false">
      <c r="A4" s="23" t="s">
        <v>152</v>
      </c>
      <c r="B4" s="24" t="s">
        <v>150</v>
      </c>
      <c r="C4" s="6" t="s">
        <v>49</v>
      </c>
      <c r="D4" s="25" t="s">
        <v>44</v>
      </c>
      <c r="E4" s="7" t="n">
        <v>1</v>
      </c>
      <c r="F4" s="7" t="n">
        <v>1</v>
      </c>
      <c r="G4" s="26" t="s">
        <v>45</v>
      </c>
      <c r="H4" s="6"/>
      <c r="I4" s="6"/>
    </row>
    <row r="5" customFormat="false" ht="23.85" hidden="false" customHeight="false" outlineLevel="0" collapsed="false">
      <c r="A5" s="16" t="s">
        <v>153</v>
      </c>
      <c r="B5" s="27" t="s">
        <v>150</v>
      </c>
      <c r="C5" s="10" t="s">
        <v>51</v>
      </c>
      <c r="D5" s="25" t="s">
        <v>44</v>
      </c>
      <c r="E5" s="11" t="n">
        <v>1</v>
      </c>
      <c r="F5" s="11" t="n">
        <v>1</v>
      </c>
      <c r="G5" s="28" t="s">
        <v>45</v>
      </c>
      <c r="H5" s="10"/>
      <c r="I5" s="10"/>
    </row>
    <row r="6" customFormat="false" ht="15" hidden="false" customHeight="false" outlineLevel="0" collapsed="false">
      <c r="A6" s="23" t="s">
        <v>154</v>
      </c>
      <c r="B6" s="24" t="s">
        <v>155</v>
      </c>
      <c r="C6" s="6" t="s">
        <v>54</v>
      </c>
      <c r="D6" s="25" t="s">
        <v>44</v>
      </c>
      <c r="E6" s="7" t="n">
        <v>1</v>
      </c>
      <c r="F6" s="7" t="n">
        <v>0.5</v>
      </c>
      <c r="G6" s="26" t="s">
        <v>45</v>
      </c>
      <c r="H6" s="6"/>
      <c r="I6" s="6"/>
    </row>
    <row r="7" customFormat="false" ht="15" hidden="false" customHeight="false" outlineLevel="0" collapsed="false">
      <c r="A7" s="16" t="s">
        <v>156</v>
      </c>
      <c r="B7" s="27" t="s">
        <v>155</v>
      </c>
      <c r="C7" s="10" t="s">
        <v>56</v>
      </c>
      <c r="D7" s="25" t="s">
        <v>44</v>
      </c>
      <c r="E7" s="11" t="n">
        <v>1</v>
      </c>
      <c r="F7" s="11" t="n">
        <v>0.5</v>
      </c>
      <c r="G7" s="28" t="s">
        <v>45</v>
      </c>
      <c r="H7" s="10"/>
      <c r="I7" s="10"/>
    </row>
    <row r="8" customFormat="false" ht="15" hidden="false" customHeight="false" outlineLevel="0" collapsed="false">
      <c r="A8" s="23" t="s">
        <v>157</v>
      </c>
      <c r="B8" s="24" t="s">
        <v>155</v>
      </c>
      <c r="C8" s="6" t="s">
        <v>58</v>
      </c>
      <c r="D8" s="25" t="s">
        <v>44</v>
      </c>
      <c r="E8" s="7" t="n">
        <v>1</v>
      </c>
      <c r="F8" s="7" t="n">
        <v>1</v>
      </c>
      <c r="G8" s="26" t="s">
        <v>45</v>
      </c>
      <c r="H8" s="6"/>
      <c r="I8" s="6"/>
    </row>
    <row r="9" customFormat="false" ht="15" hidden="false" customHeight="false" outlineLevel="0" collapsed="false">
      <c r="A9" s="16" t="s">
        <v>158</v>
      </c>
      <c r="B9" s="27" t="s">
        <v>155</v>
      </c>
      <c r="C9" s="10" t="s">
        <v>60</v>
      </c>
      <c r="D9" s="25" t="s">
        <v>44</v>
      </c>
      <c r="E9" s="11" t="n">
        <v>1</v>
      </c>
      <c r="F9" s="11" t="n">
        <v>1.5</v>
      </c>
      <c r="G9" s="28" t="s">
        <v>45</v>
      </c>
      <c r="H9" s="10"/>
      <c r="I9" s="10"/>
    </row>
    <row r="10" customFormat="false" ht="15" hidden="false" customHeight="false" outlineLevel="0" collapsed="false">
      <c r="A10" s="23" t="s">
        <v>159</v>
      </c>
      <c r="B10" s="24" t="s">
        <v>160</v>
      </c>
      <c r="C10" s="6" t="s">
        <v>63</v>
      </c>
      <c r="D10" s="25" t="s">
        <v>44</v>
      </c>
      <c r="E10" s="7" t="n">
        <v>1</v>
      </c>
      <c r="F10" s="7" t="n">
        <v>0.5</v>
      </c>
      <c r="G10" s="26" t="s">
        <v>45</v>
      </c>
      <c r="H10" s="6"/>
      <c r="I10" s="6"/>
    </row>
    <row r="11" customFormat="false" ht="15" hidden="false" customHeight="false" outlineLevel="0" collapsed="false">
      <c r="A11" s="16" t="s">
        <v>161</v>
      </c>
      <c r="B11" s="27" t="s">
        <v>160</v>
      </c>
      <c r="C11" s="10" t="s">
        <v>65</v>
      </c>
      <c r="D11" s="25" t="s">
        <v>44</v>
      </c>
      <c r="E11" s="11" t="n">
        <v>1</v>
      </c>
      <c r="F11" s="11" t="n">
        <v>1</v>
      </c>
      <c r="G11" s="28" t="s">
        <v>45</v>
      </c>
      <c r="H11" s="10"/>
      <c r="I11" s="10"/>
    </row>
    <row r="12" customFormat="false" ht="15" hidden="false" customHeight="false" outlineLevel="0" collapsed="false">
      <c r="A12" s="23" t="s">
        <v>162</v>
      </c>
      <c r="B12" s="24" t="s">
        <v>160</v>
      </c>
      <c r="C12" s="6" t="s">
        <v>67</v>
      </c>
      <c r="D12" s="25" t="s">
        <v>44</v>
      </c>
      <c r="E12" s="7" t="n">
        <v>1</v>
      </c>
      <c r="F12" s="7" t="n">
        <v>0.5</v>
      </c>
      <c r="G12" s="26" t="s">
        <v>45</v>
      </c>
      <c r="H12" s="6"/>
      <c r="I12" s="6"/>
    </row>
    <row r="13" customFormat="false" ht="15" hidden="false" customHeight="false" outlineLevel="0" collapsed="false">
      <c r="A13" s="16" t="s">
        <v>163</v>
      </c>
      <c r="B13" s="27" t="s">
        <v>160</v>
      </c>
      <c r="C13" s="10" t="s">
        <v>69</v>
      </c>
      <c r="D13" s="25" t="s">
        <v>44</v>
      </c>
      <c r="E13" s="11" t="n">
        <v>1</v>
      </c>
      <c r="F13" s="11" t="n">
        <v>0.5</v>
      </c>
      <c r="G13" s="28" t="s">
        <v>45</v>
      </c>
      <c r="H13" s="10"/>
      <c r="I13" s="10"/>
    </row>
    <row r="14" customFormat="false" ht="15" hidden="false" customHeight="false" outlineLevel="0" collapsed="false">
      <c r="A14" s="23" t="s">
        <v>164</v>
      </c>
      <c r="B14" s="24" t="s">
        <v>165</v>
      </c>
      <c r="C14" s="6" t="s">
        <v>72</v>
      </c>
      <c r="D14" s="25" t="s">
        <v>44</v>
      </c>
      <c r="E14" s="7" t="n">
        <v>1</v>
      </c>
      <c r="F14" s="7" t="n">
        <v>1</v>
      </c>
      <c r="G14" s="26" t="s">
        <v>45</v>
      </c>
      <c r="H14" s="6"/>
      <c r="I14" s="6"/>
    </row>
    <row r="15" customFormat="false" ht="15" hidden="false" customHeight="false" outlineLevel="0" collapsed="false">
      <c r="A15" s="16" t="s">
        <v>166</v>
      </c>
      <c r="B15" s="27" t="s">
        <v>165</v>
      </c>
      <c r="C15" s="10" t="s">
        <v>74</v>
      </c>
      <c r="D15" s="25" t="s">
        <v>44</v>
      </c>
      <c r="E15" s="11" t="n">
        <v>1</v>
      </c>
      <c r="F15" s="11" t="n">
        <v>1</v>
      </c>
      <c r="G15" s="28" t="s">
        <v>45</v>
      </c>
      <c r="H15" s="10"/>
      <c r="I15" s="10"/>
    </row>
    <row r="16" customFormat="false" ht="15" hidden="false" customHeight="false" outlineLevel="0" collapsed="false">
      <c r="A16" s="23" t="s">
        <v>167</v>
      </c>
      <c r="B16" s="24" t="s">
        <v>165</v>
      </c>
      <c r="C16" s="6" t="s">
        <v>76</v>
      </c>
      <c r="D16" s="25" t="s">
        <v>44</v>
      </c>
      <c r="E16" s="7" t="n">
        <v>1</v>
      </c>
      <c r="F16" s="7" t="n">
        <v>1</v>
      </c>
      <c r="G16" s="26" t="s">
        <v>45</v>
      </c>
      <c r="H16" s="6"/>
      <c r="I16" s="6"/>
    </row>
    <row r="17" customFormat="false" ht="15" hidden="false" customHeight="false" outlineLevel="0" collapsed="false">
      <c r="A17" s="16" t="s">
        <v>168</v>
      </c>
      <c r="B17" s="27" t="s">
        <v>165</v>
      </c>
      <c r="C17" s="10" t="s">
        <v>78</v>
      </c>
      <c r="D17" s="25" t="s">
        <v>44</v>
      </c>
      <c r="E17" s="11" t="n">
        <v>1</v>
      </c>
      <c r="F17" s="11" t="n">
        <v>1</v>
      </c>
      <c r="G17" s="28" t="s">
        <v>45</v>
      </c>
      <c r="H17" s="10"/>
      <c r="I17" s="10"/>
    </row>
    <row r="18" customFormat="false" ht="15" hidden="false" customHeight="false" outlineLevel="0" collapsed="false">
      <c r="A18" s="23" t="s">
        <v>169</v>
      </c>
      <c r="B18" s="24" t="s">
        <v>170</v>
      </c>
      <c r="C18" s="6" t="s">
        <v>171</v>
      </c>
      <c r="D18" s="25" t="s">
        <v>44</v>
      </c>
      <c r="E18" s="7" t="n">
        <v>2</v>
      </c>
      <c r="F18" s="7" t="n">
        <v>0.5</v>
      </c>
      <c r="G18" s="26" t="s">
        <v>82</v>
      </c>
      <c r="H18" s="6"/>
      <c r="I18" s="6"/>
    </row>
    <row r="19" customFormat="false" ht="15" hidden="false" customHeight="false" outlineLevel="0" collapsed="false">
      <c r="A19" s="16" t="s">
        <v>172</v>
      </c>
      <c r="B19" s="27" t="s">
        <v>170</v>
      </c>
      <c r="C19" s="10" t="s">
        <v>173</v>
      </c>
      <c r="D19" s="25" t="s">
        <v>44</v>
      </c>
      <c r="E19" s="11" t="n">
        <v>2</v>
      </c>
      <c r="F19" s="11" t="n">
        <v>1.5</v>
      </c>
      <c r="G19" s="28" t="s">
        <v>82</v>
      </c>
      <c r="H19" s="10"/>
      <c r="I19" s="10"/>
    </row>
    <row r="20" customFormat="false" ht="15" hidden="false" customHeight="false" outlineLevel="0" collapsed="false">
      <c r="A20" s="23" t="s">
        <v>174</v>
      </c>
      <c r="B20" s="24" t="s">
        <v>175</v>
      </c>
      <c r="C20" s="6" t="s">
        <v>176</v>
      </c>
      <c r="D20" s="25" t="s">
        <v>44</v>
      </c>
      <c r="E20" s="7" t="n">
        <v>2</v>
      </c>
      <c r="F20" s="7" t="n">
        <v>1</v>
      </c>
      <c r="G20" s="26" t="s">
        <v>82</v>
      </c>
      <c r="H20" s="6"/>
      <c r="I20" s="6"/>
    </row>
    <row r="21" customFormat="false" ht="15" hidden="false" customHeight="false" outlineLevel="0" collapsed="false">
      <c r="A21" s="16" t="s">
        <v>177</v>
      </c>
      <c r="B21" s="27" t="s">
        <v>175</v>
      </c>
      <c r="C21" s="10" t="s">
        <v>178</v>
      </c>
      <c r="D21" s="25" t="s">
        <v>44</v>
      </c>
      <c r="E21" s="11" t="n">
        <v>2</v>
      </c>
      <c r="F21" s="11" t="n">
        <v>2</v>
      </c>
      <c r="G21" s="28" t="s">
        <v>82</v>
      </c>
      <c r="H21" s="10"/>
      <c r="I21" s="10"/>
    </row>
    <row r="22" customFormat="false" ht="15" hidden="false" customHeight="false" outlineLevel="0" collapsed="false">
      <c r="A22" s="23" t="s">
        <v>179</v>
      </c>
      <c r="B22" s="24" t="s">
        <v>175</v>
      </c>
      <c r="C22" s="6" t="s">
        <v>180</v>
      </c>
      <c r="D22" s="25" t="s">
        <v>44</v>
      </c>
      <c r="E22" s="7" t="n">
        <v>2</v>
      </c>
      <c r="F22" s="7" t="n">
        <v>2</v>
      </c>
      <c r="G22" s="26" t="s">
        <v>82</v>
      </c>
      <c r="H22" s="6"/>
      <c r="I22" s="6"/>
    </row>
    <row r="23" customFormat="false" ht="15" hidden="false" customHeight="false" outlineLevel="0" collapsed="false">
      <c r="A23" s="16" t="s">
        <v>181</v>
      </c>
      <c r="B23" s="27" t="s">
        <v>175</v>
      </c>
      <c r="C23" s="10" t="s">
        <v>182</v>
      </c>
      <c r="D23" s="25" t="s">
        <v>44</v>
      </c>
      <c r="E23" s="11" t="n">
        <v>2</v>
      </c>
      <c r="F23" s="11" t="n">
        <v>2</v>
      </c>
      <c r="G23" s="28" t="s">
        <v>82</v>
      </c>
      <c r="H23" s="10"/>
      <c r="I23" s="10"/>
    </row>
    <row r="24" customFormat="false" ht="15" hidden="false" customHeight="false" outlineLevel="0" collapsed="false">
      <c r="A24" s="23" t="s">
        <v>183</v>
      </c>
      <c r="B24" s="24" t="s">
        <v>175</v>
      </c>
      <c r="C24" s="6" t="s">
        <v>184</v>
      </c>
      <c r="D24" s="25" t="s">
        <v>44</v>
      </c>
      <c r="E24" s="7" t="n">
        <v>2</v>
      </c>
      <c r="F24" s="7" t="n">
        <v>1.5</v>
      </c>
      <c r="G24" s="26" t="s">
        <v>82</v>
      </c>
      <c r="H24" s="6"/>
      <c r="I24" s="6"/>
    </row>
    <row r="25" customFormat="false" ht="23.85" hidden="false" customHeight="false" outlineLevel="0" collapsed="false">
      <c r="A25" s="16" t="s">
        <v>185</v>
      </c>
      <c r="B25" s="27" t="s">
        <v>186</v>
      </c>
      <c r="C25" s="10" t="s">
        <v>187</v>
      </c>
      <c r="D25" s="25" t="s">
        <v>44</v>
      </c>
      <c r="E25" s="11" t="n">
        <v>2</v>
      </c>
      <c r="F25" s="11" t="n">
        <v>1</v>
      </c>
      <c r="G25" s="28" t="s">
        <v>82</v>
      </c>
      <c r="H25" s="10"/>
      <c r="I25" s="10"/>
    </row>
    <row r="26" customFormat="false" ht="23.85" hidden="false" customHeight="false" outlineLevel="0" collapsed="false">
      <c r="A26" s="23" t="s">
        <v>188</v>
      </c>
      <c r="B26" s="24" t="s">
        <v>186</v>
      </c>
      <c r="C26" s="6" t="s">
        <v>189</v>
      </c>
      <c r="D26" s="25" t="s">
        <v>44</v>
      </c>
      <c r="E26" s="7" t="n">
        <v>2</v>
      </c>
      <c r="F26" s="7" t="n">
        <v>1.5</v>
      </c>
      <c r="G26" s="26" t="s">
        <v>82</v>
      </c>
      <c r="H26" s="6"/>
      <c r="I26" s="6"/>
    </row>
    <row r="27" customFormat="false" ht="23.85" hidden="false" customHeight="false" outlineLevel="0" collapsed="false">
      <c r="A27" s="16" t="s">
        <v>190</v>
      </c>
      <c r="B27" s="27" t="s">
        <v>186</v>
      </c>
      <c r="C27" s="10" t="s">
        <v>191</v>
      </c>
      <c r="D27" s="25" t="s">
        <v>44</v>
      </c>
      <c r="E27" s="11" t="n">
        <v>2</v>
      </c>
      <c r="F27" s="11" t="n">
        <v>1</v>
      </c>
      <c r="G27" s="28" t="s">
        <v>82</v>
      </c>
      <c r="H27" s="10"/>
      <c r="I27" s="10"/>
    </row>
    <row r="28" customFormat="false" ht="15" hidden="false" customHeight="false" outlineLevel="0" collapsed="false">
      <c r="A28" s="23" t="s">
        <v>192</v>
      </c>
      <c r="B28" s="24" t="s">
        <v>186</v>
      </c>
      <c r="C28" s="6" t="s">
        <v>193</v>
      </c>
      <c r="D28" s="25" t="s">
        <v>44</v>
      </c>
      <c r="E28" s="7" t="n">
        <v>2</v>
      </c>
      <c r="F28" s="7" t="n">
        <v>0.5</v>
      </c>
      <c r="G28" s="26" t="s">
        <v>82</v>
      </c>
      <c r="H28" s="6"/>
      <c r="I28" s="6"/>
    </row>
    <row r="29" customFormat="false" ht="23.85" hidden="false" customHeight="false" outlineLevel="0" collapsed="false">
      <c r="A29" s="16" t="s">
        <v>194</v>
      </c>
      <c r="B29" s="27" t="s">
        <v>195</v>
      </c>
      <c r="C29" s="10" t="s">
        <v>196</v>
      </c>
      <c r="D29" s="25" t="s">
        <v>44</v>
      </c>
      <c r="E29" s="11" t="n">
        <v>2</v>
      </c>
      <c r="F29" s="11" t="n">
        <v>1</v>
      </c>
      <c r="G29" s="28" t="s">
        <v>82</v>
      </c>
      <c r="H29" s="10"/>
      <c r="I29" s="10"/>
    </row>
    <row r="30" customFormat="false" ht="15" hidden="false" customHeight="false" outlineLevel="0" collapsed="false">
      <c r="A30" s="23" t="s">
        <v>197</v>
      </c>
      <c r="B30" s="24" t="s">
        <v>195</v>
      </c>
      <c r="C30" s="6" t="s">
        <v>198</v>
      </c>
      <c r="D30" s="25" t="s">
        <v>44</v>
      </c>
      <c r="E30" s="7" t="n">
        <v>2</v>
      </c>
      <c r="F30" s="7" t="n">
        <v>0.5</v>
      </c>
      <c r="G30" s="26" t="s">
        <v>82</v>
      </c>
      <c r="H30" s="6"/>
      <c r="I30" s="6"/>
    </row>
    <row r="31" customFormat="false" ht="15" hidden="false" customHeight="false" outlineLevel="0" collapsed="false">
      <c r="A31" s="16" t="s">
        <v>199</v>
      </c>
      <c r="B31" s="27" t="s">
        <v>195</v>
      </c>
      <c r="C31" s="10" t="s">
        <v>200</v>
      </c>
      <c r="D31" s="25" t="s">
        <v>44</v>
      </c>
      <c r="E31" s="11" t="n">
        <v>2</v>
      </c>
      <c r="F31" s="11" t="n">
        <v>0.5</v>
      </c>
      <c r="G31" s="28" t="s">
        <v>82</v>
      </c>
      <c r="H31" s="10"/>
      <c r="I31" s="10"/>
    </row>
    <row r="32" customFormat="false" ht="23.85" hidden="false" customHeight="false" outlineLevel="0" collapsed="false">
      <c r="A32" s="23" t="s">
        <v>201</v>
      </c>
      <c r="B32" s="24" t="s">
        <v>202</v>
      </c>
      <c r="C32" s="6" t="s">
        <v>203</v>
      </c>
      <c r="D32" s="25" t="s">
        <v>44</v>
      </c>
      <c r="E32" s="7" t="n">
        <v>2</v>
      </c>
      <c r="F32" s="7" t="n">
        <v>1</v>
      </c>
      <c r="G32" s="26" t="s">
        <v>82</v>
      </c>
      <c r="H32" s="6"/>
      <c r="I32" s="6"/>
    </row>
    <row r="33" customFormat="false" ht="23.85" hidden="false" customHeight="false" outlineLevel="0" collapsed="false">
      <c r="A33" s="16" t="s">
        <v>204</v>
      </c>
      <c r="B33" s="27" t="s">
        <v>202</v>
      </c>
      <c r="C33" s="10" t="s">
        <v>205</v>
      </c>
      <c r="D33" s="25" t="s">
        <v>44</v>
      </c>
      <c r="E33" s="11" t="n">
        <v>2</v>
      </c>
      <c r="F33" s="11" t="n">
        <v>1</v>
      </c>
      <c r="G33" s="28" t="s">
        <v>82</v>
      </c>
      <c r="H33" s="10"/>
      <c r="I33" s="10"/>
    </row>
    <row r="34" customFormat="false" ht="15" hidden="false" customHeight="false" outlineLevel="0" collapsed="false">
      <c r="A34" s="23" t="s">
        <v>206</v>
      </c>
      <c r="B34" s="24" t="s">
        <v>202</v>
      </c>
      <c r="C34" s="6" t="s">
        <v>207</v>
      </c>
      <c r="D34" s="25" t="s">
        <v>44</v>
      </c>
      <c r="E34" s="7" t="n">
        <v>2</v>
      </c>
      <c r="F34" s="7" t="n">
        <v>1</v>
      </c>
      <c r="G34" s="26" t="s">
        <v>82</v>
      </c>
      <c r="H34" s="6"/>
      <c r="I34" s="6"/>
    </row>
    <row r="35" customFormat="false" ht="23.85" hidden="false" customHeight="false" outlineLevel="0" collapsed="false">
      <c r="A35" s="16" t="s">
        <v>208</v>
      </c>
      <c r="B35" s="27" t="s">
        <v>202</v>
      </c>
      <c r="C35" s="10" t="s">
        <v>209</v>
      </c>
      <c r="D35" s="25" t="s">
        <v>44</v>
      </c>
      <c r="E35" s="11" t="n">
        <v>2</v>
      </c>
      <c r="F35" s="11" t="n">
        <v>0.5</v>
      </c>
      <c r="G35" s="28" t="s">
        <v>82</v>
      </c>
      <c r="H35" s="10"/>
      <c r="I35" s="10"/>
    </row>
    <row r="36" customFormat="false" ht="23.85" hidden="false" customHeight="false" outlineLevel="0" collapsed="false">
      <c r="A36" s="23" t="s">
        <v>210</v>
      </c>
      <c r="B36" s="24" t="s">
        <v>211</v>
      </c>
      <c r="C36" s="6" t="s">
        <v>212</v>
      </c>
      <c r="D36" s="25" t="s">
        <v>44</v>
      </c>
      <c r="E36" s="7" t="n">
        <v>2</v>
      </c>
      <c r="F36" s="7" t="n">
        <v>0.5</v>
      </c>
      <c r="G36" s="26" t="s">
        <v>82</v>
      </c>
      <c r="H36" s="6"/>
      <c r="I36" s="6"/>
    </row>
    <row r="37" customFormat="false" ht="23.85" hidden="false" customHeight="false" outlineLevel="0" collapsed="false">
      <c r="A37" s="16" t="s">
        <v>213</v>
      </c>
      <c r="B37" s="27" t="s">
        <v>211</v>
      </c>
      <c r="C37" s="10" t="s">
        <v>214</v>
      </c>
      <c r="D37" s="25" t="s">
        <v>44</v>
      </c>
      <c r="E37" s="11" t="n">
        <v>2</v>
      </c>
      <c r="F37" s="11" t="n">
        <v>1</v>
      </c>
      <c r="G37" s="28" t="s">
        <v>82</v>
      </c>
      <c r="H37" s="10"/>
      <c r="I37" s="10"/>
    </row>
    <row r="38" customFormat="false" ht="15" hidden="false" customHeight="false" outlineLevel="0" collapsed="false">
      <c r="A38" s="23" t="s">
        <v>215</v>
      </c>
      <c r="B38" s="24" t="s">
        <v>211</v>
      </c>
      <c r="C38" s="6" t="s">
        <v>216</v>
      </c>
      <c r="D38" s="25" t="s">
        <v>44</v>
      </c>
      <c r="E38" s="7" t="n">
        <v>2</v>
      </c>
      <c r="F38" s="7" t="n">
        <v>0.5</v>
      </c>
      <c r="G38" s="26" t="s">
        <v>82</v>
      </c>
      <c r="H38" s="6"/>
      <c r="I38" s="6"/>
    </row>
    <row r="39" customFormat="false" ht="23.85" hidden="false" customHeight="false" outlineLevel="0" collapsed="false">
      <c r="A39" s="16" t="s">
        <v>217</v>
      </c>
      <c r="B39" s="27" t="s">
        <v>218</v>
      </c>
      <c r="C39" s="10" t="s">
        <v>219</v>
      </c>
      <c r="D39" s="29" t="s">
        <v>123</v>
      </c>
      <c r="E39" s="11" t="n">
        <v>3</v>
      </c>
      <c r="F39" s="11" t="n">
        <v>0.5</v>
      </c>
      <c r="G39" s="28" t="s">
        <v>82</v>
      </c>
      <c r="H39" s="10"/>
      <c r="I39" s="10"/>
    </row>
    <row r="40" customFormat="false" ht="23.85" hidden="false" customHeight="false" outlineLevel="0" collapsed="false">
      <c r="A40" s="23" t="s">
        <v>220</v>
      </c>
      <c r="B40" s="24" t="s">
        <v>218</v>
      </c>
      <c r="C40" s="6" t="s">
        <v>221</v>
      </c>
      <c r="D40" s="29" t="s">
        <v>123</v>
      </c>
      <c r="E40" s="7" t="n">
        <v>3</v>
      </c>
      <c r="F40" s="7" t="n">
        <v>1</v>
      </c>
      <c r="G40" s="26" t="s">
        <v>82</v>
      </c>
      <c r="H40" s="6"/>
      <c r="I40" s="6"/>
    </row>
    <row r="41" customFormat="false" ht="15" hidden="false" customHeight="false" outlineLevel="0" collapsed="false">
      <c r="A41" s="16" t="s">
        <v>222</v>
      </c>
      <c r="B41" s="27" t="s">
        <v>218</v>
      </c>
      <c r="C41" s="10" t="s">
        <v>223</v>
      </c>
      <c r="D41" s="29" t="s">
        <v>123</v>
      </c>
      <c r="E41" s="11" t="n">
        <v>3</v>
      </c>
      <c r="F41" s="11" t="n">
        <v>1</v>
      </c>
      <c r="G41" s="28" t="s">
        <v>82</v>
      </c>
      <c r="H41" s="10"/>
      <c r="I41" s="10"/>
    </row>
    <row r="42" customFormat="false" ht="15" hidden="false" customHeight="false" outlineLevel="0" collapsed="false">
      <c r="A42" s="23" t="s">
        <v>224</v>
      </c>
      <c r="B42" s="24" t="s">
        <v>218</v>
      </c>
      <c r="C42" s="6" t="s">
        <v>225</v>
      </c>
      <c r="D42" s="29" t="s">
        <v>123</v>
      </c>
      <c r="E42" s="7" t="n">
        <v>3</v>
      </c>
      <c r="F42" s="7" t="n">
        <v>0.5</v>
      </c>
      <c r="G42" s="26" t="s">
        <v>82</v>
      </c>
      <c r="H42" s="6"/>
      <c r="I42" s="6"/>
    </row>
    <row r="43" customFormat="false" ht="23.85" hidden="false" customHeight="false" outlineLevel="0" collapsed="false">
      <c r="A43" s="16" t="s">
        <v>226</v>
      </c>
      <c r="B43" s="27" t="s">
        <v>227</v>
      </c>
      <c r="C43" s="10" t="s">
        <v>228</v>
      </c>
      <c r="D43" s="29" t="s">
        <v>123</v>
      </c>
      <c r="E43" s="11" t="n">
        <v>3</v>
      </c>
      <c r="F43" s="11" t="n">
        <v>1</v>
      </c>
      <c r="G43" s="28" t="s">
        <v>82</v>
      </c>
      <c r="H43" s="10"/>
      <c r="I43" s="10"/>
    </row>
    <row r="44" customFormat="false" ht="15" hidden="false" customHeight="false" outlineLevel="0" collapsed="false">
      <c r="A44" s="23" t="s">
        <v>229</v>
      </c>
      <c r="B44" s="24" t="s">
        <v>227</v>
      </c>
      <c r="C44" s="6" t="s">
        <v>230</v>
      </c>
      <c r="D44" s="29" t="s">
        <v>123</v>
      </c>
      <c r="E44" s="7" t="n">
        <v>3</v>
      </c>
      <c r="F44" s="7" t="n">
        <v>1</v>
      </c>
      <c r="G44" s="26" t="s">
        <v>82</v>
      </c>
      <c r="H44" s="6"/>
      <c r="I44" s="6"/>
    </row>
    <row r="45" customFormat="false" ht="15" hidden="false" customHeight="false" outlineLevel="0" collapsed="false">
      <c r="A45" s="16" t="s">
        <v>231</v>
      </c>
      <c r="B45" s="27" t="s">
        <v>227</v>
      </c>
      <c r="C45" s="10" t="s">
        <v>232</v>
      </c>
      <c r="D45" s="29" t="s">
        <v>123</v>
      </c>
      <c r="E45" s="11" t="n">
        <v>3</v>
      </c>
      <c r="F45" s="11" t="n">
        <v>0.5</v>
      </c>
      <c r="G45" s="28" t="s">
        <v>82</v>
      </c>
      <c r="H45" s="10"/>
      <c r="I45" s="10"/>
    </row>
    <row r="46" customFormat="false" ht="23.85" hidden="false" customHeight="false" outlineLevel="0" collapsed="false">
      <c r="A46" s="23" t="s">
        <v>233</v>
      </c>
      <c r="B46" s="24" t="s">
        <v>141</v>
      </c>
      <c r="C46" s="6" t="s">
        <v>234</v>
      </c>
      <c r="D46" s="25" t="s">
        <v>44</v>
      </c>
      <c r="E46" s="7" t="n">
        <v>3</v>
      </c>
      <c r="F46" s="7" t="n">
        <v>1</v>
      </c>
      <c r="G46" s="26" t="s">
        <v>82</v>
      </c>
      <c r="H46" s="6"/>
      <c r="I46" s="6"/>
    </row>
    <row r="47" customFormat="false" ht="15" hidden="false" customHeight="false" outlineLevel="0" collapsed="false">
      <c r="A47" s="16" t="s">
        <v>235</v>
      </c>
      <c r="B47" s="27" t="s">
        <v>141</v>
      </c>
      <c r="C47" s="10" t="s">
        <v>236</v>
      </c>
      <c r="D47" s="25" t="s">
        <v>44</v>
      </c>
      <c r="E47" s="11" t="n">
        <v>3</v>
      </c>
      <c r="F47" s="11" t="n">
        <v>2</v>
      </c>
      <c r="G47" s="28" t="s">
        <v>82</v>
      </c>
      <c r="H47" s="10"/>
      <c r="I47" s="10"/>
    </row>
    <row r="48" customFormat="false" ht="15" hidden="false" customHeight="false" outlineLevel="0" collapsed="false">
      <c r="A48" s="23" t="s">
        <v>237</v>
      </c>
      <c r="B48" s="24" t="s">
        <v>141</v>
      </c>
      <c r="C48" s="6" t="s">
        <v>238</v>
      </c>
      <c r="D48" s="25" t="s">
        <v>44</v>
      </c>
      <c r="E48" s="7" t="n">
        <v>3</v>
      </c>
      <c r="F48" s="7" t="n">
        <v>1.5</v>
      </c>
      <c r="G48" s="26" t="s">
        <v>82</v>
      </c>
      <c r="H48" s="6"/>
      <c r="I48" s="6"/>
    </row>
    <row r="50" customFormat="false" ht="15" hidden="false" customHeight="false" outlineLevel="0" collapsed="false">
      <c r="C50" s="30" t="s">
        <v>147</v>
      </c>
      <c r="F50" s="31" t="n">
        <f aca="false">SUM(F2:F48)</f>
        <v>45</v>
      </c>
    </row>
    <row r="51" customFormat="false" ht="15" hidden="false" customHeight="false" outlineLevel="0" collapsed="false">
      <c r="C51" s="30" t="s">
        <v>148</v>
      </c>
      <c r="F51" s="31" t="n">
        <f aca="false">SUMIF(G2:G48,"Feito",F2:F48)</f>
        <v>0</v>
      </c>
    </row>
  </sheetData>
  <autoFilter ref="A1:I48"/>
  <dataValidations count="1">
    <dataValidation allowBlank="true" errorStyle="stop" operator="between" showDropDown="false" showErrorMessage="false" showInputMessage="false" sqref="G2:G48" type="list">
      <formula1>"Backlog,A Fazer,Fazendo,Em Review,Feito"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28"/>
  </cols>
  <sheetData>
    <row r="1" customFormat="false" ht="23.85" hidden="false" customHeight="false" outlineLevel="0" collapsed="false">
      <c r="A1" s="33" t="s">
        <v>32</v>
      </c>
      <c r="B1" s="33" t="s">
        <v>33</v>
      </c>
      <c r="C1" s="33" t="s">
        <v>34</v>
      </c>
      <c r="D1" s="33" t="s">
        <v>35</v>
      </c>
      <c r="E1" s="33" t="s">
        <v>36</v>
      </c>
      <c r="F1" s="33" t="s">
        <v>37</v>
      </c>
      <c r="G1" s="33" t="s">
        <v>38</v>
      </c>
      <c r="H1" s="33" t="s">
        <v>39</v>
      </c>
      <c r="I1" s="33" t="s">
        <v>40</v>
      </c>
    </row>
    <row r="2" customFormat="false" ht="15" hidden="false" customHeight="false" outlineLevel="0" collapsed="false">
      <c r="A2" s="23" t="s">
        <v>239</v>
      </c>
      <c r="B2" s="24" t="s">
        <v>240</v>
      </c>
      <c r="C2" s="6" t="s">
        <v>43</v>
      </c>
      <c r="D2" s="25" t="s">
        <v>44</v>
      </c>
      <c r="E2" s="7" t="n">
        <v>1</v>
      </c>
      <c r="F2" s="7" t="n">
        <v>0.5</v>
      </c>
      <c r="G2" s="26" t="s">
        <v>45</v>
      </c>
      <c r="H2" s="6"/>
      <c r="I2" s="6"/>
    </row>
    <row r="3" customFormat="false" ht="15" hidden="false" customHeight="false" outlineLevel="0" collapsed="false">
      <c r="A3" s="16" t="s">
        <v>241</v>
      </c>
      <c r="B3" s="27" t="s">
        <v>240</v>
      </c>
      <c r="C3" s="10" t="s">
        <v>47</v>
      </c>
      <c r="D3" s="25" t="s">
        <v>44</v>
      </c>
      <c r="E3" s="11" t="n">
        <v>1</v>
      </c>
      <c r="F3" s="11" t="n">
        <v>0.5</v>
      </c>
      <c r="G3" s="28" t="s">
        <v>45</v>
      </c>
      <c r="H3" s="10"/>
      <c r="I3" s="10"/>
    </row>
    <row r="4" customFormat="false" ht="15" hidden="false" customHeight="false" outlineLevel="0" collapsed="false">
      <c r="A4" s="23" t="s">
        <v>242</v>
      </c>
      <c r="B4" s="24" t="s">
        <v>240</v>
      </c>
      <c r="C4" s="6" t="s">
        <v>49</v>
      </c>
      <c r="D4" s="25" t="s">
        <v>44</v>
      </c>
      <c r="E4" s="7" t="n">
        <v>1</v>
      </c>
      <c r="F4" s="7" t="n">
        <v>1</v>
      </c>
      <c r="G4" s="26" t="s">
        <v>45</v>
      </c>
      <c r="H4" s="6"/>
      <c r="I4" s="6"/>
    </row>
    <row r="5" customFormat="false" ht="23.85" hidden="false" customHeight="false" outlineLevel="0" collapsed="false">
      <c r="A5" s="16" t="s">
        <v>243</v>
      </c>
      <c r="B5" s="27" t="s">
        <v>240</v>
      </c>
      <c r="C5" s="10" t="s">
        <v>51</v>
      </c>
      <c r="D5" s="25" t="s">
        <v>44</v>
      </c>
      <c r="E5" s="11" t="n">
        <v>1</v>
      </c>
      <c r="F5" s="11" t="n">
        <v>1</v>
      </c>
      <c r="G5" s="28" t="s">
        <v>45</v>
      </c>
      <c r="H5" s="10"/>
      <c r="I5" s="10"/>
    </row>
    <row r="6" customFormat="false" ht="15" hidden="false" customHeight="false" outlineLevel="0" collapsed="false">
      <c r="A6" s="23" t="s">
        <v>244</v>
      </c>
      <c r="B6" s="24" t="s">
        <v>245</v>
      </c>
      <c r="C6" s="6" t="s">
        <v>54</v>
      </c>
      <c r="D6" s="25" t="s">
        <v>44</v>
      </c>
      <c r="E6" s="7" t="n">
        <v>1</v>
      </c>
      <c r="F6" s="7" t="n">
        <v>0.5</v>
      </c>
      <c r="G6" s="26" t="s">
        <v>45</v>
      </c>
      <c r="H6" s="6"/>
      <c r="I6" s="6"/>
    </row>
    <row r="7" customFormat="false" ht="15" hidden="false" customHeight="false" outlineLevel="0" collapsed="false">
      <c r="A7" s="16" t="s">
        <v>246</v>
      </c>
      <c r="B7" s="27" t="s">
        <v>245</v>
      </c>
      <c r="C7" s="10" t="s">
        <v>56</v>
      </c>
      <c r="D7" s="25" t="s">
        <v>44</v>
      </c>
      <c r="E7" s="11" t="n">
        <v>1</v>
      </c>
      <c r="F7" s="11" t="n">
        <v>0.5</v>
      </c>
      <c r="G7" s="28" t="s">
        <v>45</v>
      </c>
      <c r="H7" s="10"/>
      <c r="I7" s="10"/>
    </row>
    <row r="8" customFormat="false" ht="15" hidden="false" customHeight="false" outlineLevel="0" collapsed="false">
      <c r="A8" s="23" t="s">
        <v>247</v>
      </c>
      <c r="B8" s="24" t="s">
        <v>245</v>
      </c>
      <c r="C8" s="6" t="s">
        <v>58</v>
      </c>
      <c r="D8" s="25" t="s">
        <v>44</v>
      </c>
      <c r="E8" s="7" t="n">
        <v>1</v>
      </c>
      <c r="F8" s="7" t="n">
        <v>1</v>
      </c>
      <c r="G8" s="26" t="s">
        <v>45</v>
      </c>
      <c r="H8" s="6"/>
      <c r="I8" s="6"/>
    </row>
    <row r="9" customFormat="false" ht="15" hidden="false" customHeight="false" outlineLevel="0" collapsed="false">
      <c r="A9" s="16" t="s">
        <v>248</v>
      </c>
      <c r="B9" s="27" t="s">
        <v>245</v>
      </c>
      <c r="C9" s="10" t="s">
        <v>60</v>
      </c>
      <c r="D9" s="25" t="s">
        <v>44</v>
      </c>
      <c r="E9" s="11" t="n">
        <v>1</v>
      </c>
      <c r="F9" s="11" t="n">
        <v>1.5</v>
      </c>
      <c r="G9" s="28" t="s">
        <v>45</v>
      </c>
      <c r="H9" s="10"/>
      <c r="I9" s="10"/>
    </row>
    <row r="10" customFormat="false" ht="15" hidden="false" customHeight="false" outlineLevel="0" collapsed="false">
      <c r="A10" s="23" t="s">
        <v>249</v>
      </c>
      <c r="B10" s="24" t="s">
        <v>250</v>
      </c>
      <c r="C10" s="6" t="s">
        <v>63</v>
      </c>
      <c r="D10" s="25" t="s">
        <v>44</v>
      </c>
      <c r="E10" s="7" t="n">
        <v>1</v>
      </c>
      <c r="F10" s="7" t="n">
        <v>0.5</v>
      </c>
      <c r="G10" s="26" t="s">
        <v>45</v>
      </c>
      <c r="H10" s="6"/>
      <c r="I10" s="6"/>
    </row>
    <row r="11" customFormat="false" ht="15" hidden="false" customHeight="false" outlineLevel="0" collapsed="false">
      <c r="A11" s="16" t="s">
        <v>251</v>
      </c>
      <c r="B11" s="27" t="s">
        <v>250</v>
      </c>
      <c r="C11" s="10" t="s">
        <v>65</v>
      </c>
      <c r="D11" s="25" t="s">
        <v>44</v>
      </c>
      <c r="E11" s="11" t="n">
        <v>1</v>
      </c>
      <c r="F11" s="11" t="n">
        <v>1</v>
      </c>
      <c r="G11" s="28" t="s">
        <v>45</v>
      </c>
      <c r="H11" s="10"/>
      <c r="I11" s="10"/>
    </row>
    <row r="12" customFormat="false" ht="15" hidden="false" customHeight="false" outlineLevel="0" collapsed="false">
      <c r="A12" s="23" t="s">
        <v>252</v>
      </c>
      <c r="B12" s="24" t="s">
        <v>250</v>
      </c>
      <c r="C12" s="6" t="s">
        <v>67</v>
      </c>
      <c r="D12" s="25" t="s">
        <v>44</v>
      </c>
      <c r="E12" s="7" t="n">
        <v>1</v>
      </c>
      <c r="F12" s="7" t="n">
        <v>0.5</v>
      </c>
      <c r="G12" s="26" t="s">
        <v>45</v>
      </c>
      <c r="H12" s="6"/>
      <c r="I12" s="6"/>
    </row>
    <row r="13" customFormat="false" ht="15" hidden="false" customHeight="false" outlineLevel="0" collapsed="false">
      <c r="A13" s="16" t="s">
        <v>253</v>
      </c>
      <c r="B13" s="27" t="s">
        <v>250</v>
      </c>
      <c r="C13" s="10" t="s">
        <v>69</v>
      </c>
      <c r="D13" s="25" t="s">
        <v>44</v>
      </c>
      <c r="E13" s="11" t="n">
        <v>1</v>
      </c>
      <c r="F13" s="11" t="n">
        <v>0.5</v>
      </c>
      <c r="G13" s="28" t="s">
        <v>45</v>
      </c>
      <c r="H13" s="10"/>
      <c r="I13" s="10"/>
    </row>
    <row r="14" customFormat="false" ht="15" hidden="false" customHeight="false" outlineLevel="0" collapsed="false">
      <c r="A14" s="23" t="s">
        <v>254</v>
      </c>
      <c r="B14" s="24" t="s">
        <v>255</v>
      </c>
      <c r="C14" s="6" t="s">
        <v>72</v>
      </c>
      <c r="D14" s="25" t="s">
        <v>44</v>
      </c>
      <c r="E14" s="7" t="n">
        <v>1</v>
      </c>
      <c r="F14" s="7" t="n">
        <v>1</v>
      </c>
      <c r="G14" s="26" t="s">
        <v>45</v>
      </c>
      <c r="H14" s="6"/>
      <c r="I14" s="6"/>
    </row>
    <row r="15" customFormat="false" ht="15" hidden="false" customHeight="false" outlineLevel="0" collapsed="false">
      <c r="A15" s="16" t="s">
        <v>256</v>
      </c>
      <c r="B15" s="27" t="s">
        <v>255</v>
      </c>
      <c r="C15" s="10" t="s">
        <v>74</v>
      </c>
      <c r="D15" s="25" t="s">
        <v>44</v>
      </c>
      <c r="E15" s="11" t="n">
        <v>1</v>
      </c>
      <c r="F15" s="11" t="n">
        <v>1</v>
      </c>
      <c r="G15" s="28" t="s">
        <v>45</v>
      </c>
      <c r="H15" s="10"/>
      <c r="I15" s="10"/>
    </row>
    <row r="16" customFormat="false" ht="15" hidden="false" customHeight="false" outlineLevel="0" collapsed="false">
      <c r="A16" s="23" t="s">
        <v>257</v>
      </c>
      <c r="B16" s="24" t="s">
        <v>255</v>
      </c>
      <c r="C16" s="6" t="s">
        <v>76</v>
      </c>
      <c r="D16" s="25" t="s">
        <v>44</v>
      </c>
      <c r="E16" s="7" t="n">
        <v>1</v>
      </c>
      <c r="F16" s="7" t="n">
        <v>1</v>
      </c>
      <c r="G16" s="26" t="s">
        <v>45</v>
      </c>
      <c r="H16" s="6"/>
      <c r="I16" s="6"/>
    </row>
    <row r="17" customFormat="false" ht="15" hidden="false" customHeight="false" outlineLevel="0" collapsed="false">
      <c r="A17" s="16" t="s">
        <v>258</v>
      </c>
      <c r="B17" s="27" t="s">
        <v>255</v>
      </c>
      <c r="C17" s="10" t="s">
        <v>78</v>
      </c>
      <c r="D17" s="25" t="s">
        <v>44</v>
      </c>
      <c r="E17" s="11" t="n">
        <v>1</v>
      </c>
      <c r="F17" s="11" t="n">
        <v>1</v>
      </c>
      <c r="G17" s="28" t="s">
        <v>45</v>
      </c>
      <c r="H17" s="10"/>
      <c r="I17" s="10"/>
    </row>
    <row r="18" customFormat="false" ht="23.85" hidden="false" customHeight="false" outlineLevel="0" collapsed="false">
      <c r="A18" s="23" t="s">
        <v>259</v>
      </c>
      <c r="B18" s="24" t="s">
        <v>260</v>
      </c>
      <c r="C18" s="6" t="s">
        <v>261</v>
      </c>
      <c r="D18" s="25" t="s">
        <v>44</v>
      </c>
      <c r="E18" s="7" t="n">
        <v>2</v>
      </c>
      <c r="F18" s="7" t="n">
        <v>0.5</v>
      </c>
      <c r="G18" s="26" t="s">
        <v>82</v>
      </c>
      <c r="H18" s="6"/>
      <c r="I18" s="6"/>
    </row>
    <row r="19" customFormat="false" ht="15" hidden="false" customHeight="false" outlineLevel="0" collapsed="false">
      <c r="A19" s="16" t="s">
        <v>262</v>
      </c>
      <c r="B19" s="27" t="s">
        <v>260</v>
      </c>
      <c r="C19" s="10" t="s">
        <v>263</v>
      </c>
      <c r="D19" s="25" t="s">
        <v>44</v>
      </c>
      <c r="E19" s="11" t="n">
        <v>2</v>
      </c>
      <c r="F19" s="11" t="n">
        <v>0.5</v>
      </c>
      <c r="G19" s="28" t="s">
        <v>82</v>
      </c>
      <c r="H19" s="10"/>
      <c r="I19" s="10"/>
    </row>
    <row r="20" customFormat="false" ht="15" hidden="false" customHeight="false" outlineLevel="0" collapsed="false">
      <c r="A20" s="23" t="s">
        <v>264</v>
      </c>
      <c r="B20" s="24" t="s">
        <v>260</v>
      </c>
      <c r="C20" s="6" t="s">
        <v>265</v>
      </c>
      <c r="D20" s="25" t="s">
        <v>44</v>
      </c>
      <c r="E20" s="7" t="n">
        <v>2</v>
      </c>
      <c r="F20" s="7" t="n">
        <v>1</v>
      </c>
      <c r="G20" s="26" t="s">
        <v>82</v>
      </c>
      <c r="H20" s="6"/>
      <c r="I20" s="6"/>
    </row>
    <row r="21" customFormat="false" ht="23.85" hidden="false" customHeight="false" outlineLevel="0" collapsed="false">
      <c r="A21" s="16" t="s">
        <v>266</v>
      </c>
      <c r="B21" s="27" t="s">
        <v>260</v>
      </c>
      <c r="C21" s="10" t="s">
        <v>267</v>
      </c>
      <c r="D21" s="25" t="s">
        <v>44</v>
      </c>
      <c r="E21" s="11" t="n">
        <v>2</v>
      </c>
      <c r="F21" s="11" t="n">
        <v>1</v>
      </c>
      <c r="G21" s="28" t="s">
        <v>82</v>
      </c>
      <c r="H21" s="10"/>
      <c r="I21" s="10"/>
    </row>
    <row r="22" customFormat="false" ht="15" hidden="false" customHeight="false" outlineLevel="0" collapsed="false">
      <c r="A22" s="23" t="s">
        <v>268</v>
      </c>
      <c r="B22" s="24" t="s">
        <v>260</v>
      </c>
      <c r="C22" s="6" t="s">
        <v>269</v>
      </c>
      <c r="D22" s="25" t="s">
        <v>44</v>
      </c>
      <c r="E22" s="7" t="n">
        <v>2</v>
      </c>
      <c r="F22" s="7" t="n">
        <v>0.5</v>
      </c>
      <c r="G22" s="26" t="s">
        <v>82</v>
      </c>
      <c r="H22" s="6"/>
      <c r="I22" s="6"/>
    </row>
    <row r="23" customFormat="false" ht="15" hidden="false" customHeight="false" outlineLevel="0" collapsed="false">
      <c r="A23" s="16" t="s">
        <v>270</v>
      </c>
      <c r="B23" s="27" t="s">
        <v>271</v>
      </c>
      <c r="C23" s="10" t="s">
        <v>272</v>
      </c>
      <c r="D23" s="25" t="s">
        <v>44</v>
      </c>
      <c r="E23" s="11" t="n">
        <v>2</v>
      </c>
      <c r="F23" s="11" t="n">
        <v>1</v>
      </c>
      <c r="G23" s="28" t="s">
        <v>82</v>
      </c>
      <c r="H23" s="10"/>
      <c r="I23" s="10"/>
    </row>
    <row r="24" customFormat="false" ht="23.85" hidden="false" customHeight="false" outlineLevel="0" collapsed="false">
      <c r="A24" s="23" t="s">
        <v>273</v>
      </c>
      <c r="B24" s="24" t="s">
        <v>271</v>
      </c>
      <c r="C24" s="6" t="s">
        <v>274</v>
      </c>
      <c r="D24" s="25" t="s">
        <v>44</v>
      </c>
      <c r="E24" s="7" t="n">
        <v>2</v>
      </c>
      <c r="F24" s="7" t="n">
        <v>1</v>
      </c>
      <c r="G24" s="26" t="s">
        <v>82</v>
      </c>
      <c r="H24" s="6"/>
      <c r="I24" s="6"/>
    </row>
    <row r="25" customFormat="false" ht="23.85" hidden="false" customHeight="false" outlineLevel="0" collapsed="false">
      <c r="A25" s="16" t="s">
        <v>275</v>
      </c>
      <c r="B25" s="27" t="s">
        <v>276</v>
      </c>
      <c r="C25" s="10" t="s">
        <v>277</v>
      </c>
      <c r="D25" s="25" t="s">
        <v>44</v>
      </c>
      <c r="E25" s="11" t="n">
        <v>2</v>
      </c>
      <c r="F25" s="11" t="n">
        <v>0.5</v>
      </c>
      <c r="G25" s="28" t="s">
        <v>82</v>
      </c>
      <c r="H25" s="10"/>
      <c r="I25" s="10"/>
    </row>
    <row r="26" customFormat="false" ht="23.85" hidden="false" customHeight="false" outlineLevel="0" collapsed="false">
      <c r="A26" s="23" t="s">
        <v>278</v>
      </c>
      <c r="B26" s="24" t="s">
        <v>276</v>
      </c>
      <c r="C26" s="6" t="s">
        <v>279</v>
      </c>
      <c r="D26" s="25" t="s">
        <v>44</v>
      </c>
      <c r="E26" s="7" t="n">
        <v>2</v>
      </c>
      <c r="F26" s="7" t="n">
        <v>1</v>
      </c>
      <c r="G26" s="26" t="s">
        <v>82</v>
      </c>
      <c r="H26" s="6"/>
      <c r="I26" s="6"/>
    </row>
    <row r="27" customFormat="false" ht="23.85" hidden="false" customHeight="false" outlineLevel="0" collapsed="false">
      <c r="A27" s="16" t="s">
        <v>280</v>
      </c>
      <c r="B27" s="27" t="s">
        <v>276</v>
      </c>
      <c r="C27" s="10" t="s">
        <v>281</v>
      </c>
      <c r="D27" s="25" t="s">
        <v>44</v>
      </c>
      <c r="E27" s="11" t="n">
        <v>2</v>
      </c>
      <c r="F27" s="11" t="n">
        <v>1</v>
      </c>
      <c r="G27" s="28" t="s">
        <v>82</v>
      </c>
      <c r="H27" s="10"/>
      <c r="I27" s="10"/>
    </row>
    <row r="28" customFormat="false" ht="15" hidden="false" customHeight="false" outlineLevel="0" collapsed="false">
      <c r="A28" s="23" t="s">
        <v>282</v>
      </c>
      <c r="B28" s="24" t="s">
        <v>283</v>
      </c>
      <c r="C28" s="6" t="s">
        <v>284</v>
      </c>
      <c r="D28" s="25" t="s">
        <v>44</v>
      </c>
      <c r="E28" s="7" t="n">
        <v>2</v>
      </c>
      <c r="F28" s="7" t="n">
        <v>1</v>
      </c>
      <c r="G28" s="26" t="s">
        <v>82</v>
      </c>
      <c r="H28" s="6"/>
      <c r="I28" s="6"/>
    </row>
    <row r="29" customFormat="false" ht="15" hidden="false" customHeight="false" outlineLevel="0" collapsed="false">
      <c r="A29" s="16" t="s">
        <v>285</v>
      </c>
      <c r="B29" s="27" t="s">
        <v>283</v>
      </c>
      <c r="C29" s="10" t="s">
        <v>286</v>
      </c>
      <c r="D29" s="25" t="s">
        <v>44</v>
      </c>
      <c r="E29" s="11" t="n">
        <v>2</v>
      </c>
      <c r="F29" s="11" t="n">
        <v>1</v>
      </c>
      <c r="G29" s="28" t="s">
        <v>82</v>
      </c>
      <c r="H29" s="10"/>
      <c r="I29" s="10"/>
    </row>
    <row r="30" customFormat="false" ht="23.85" hidden="false" customHeight="false" outlineLevel="0" collapsed="false">
      <c r="A30" s="23" t="s">
        <v>287</v>
      </c>
      <c r="B30" s="24" t="s">
        <v>288</v>
      </c>
      <c r="C30" s="6" t="s">
        <v>289</v>
      </c>
      <c r="D30" s="25" t="s">
        <v>44</v>
      </c>
      <c r="E30" s="7" t="n">
        <v>2</v>
      </c>
      <c r="F30" s="7" t="n">
        <v>1</v>
      </c>
      <c r="G30" s="26" t="s">
        <v>82</v>
      </c>
      <c r="H30" s="6"/>
      <c r="I30" s="6"/>
    </row>
    <row r="31" customFormat="false" ht="15" hidden="false" customHeight="false" outlineLevel="0" collapsed="false">
      <c r="A31" s="16" t="s">
        <v>290</v>
      </c>
      <c r="B31" s="27" t="s">
        <v>288</v>
      </c>
      <c r="C31" s="10" t="s">
        <v>291</v>
      </c>
      <c r="D31" s="25" t="s">
        <v>44</v>
      </c>
      <c r="E31" s="11" t="n">
        <v>2</v>
      </c>
      <c r="F31" s="11" t="n">
        <v>1</v>
      </c>
      <c r="G31" s="28" t="s">
        <v>82</v>
      </c>
      <c r="H31" s="10"/>
      <c r="I31" s="10"/>
    </row>
    <row r="32" customFormat="false" ht="15" hidden="false" customHeight="false" outlineLevel="0" collapsed="false">
      <c r="A32" s="23" t="s">
        <v>292</v>
      </c>
      <c r="B32" s="24" t="s">
        <v>288</v>
      </c>
      <c r="C32" s="6" t="s">
        <v>293</v>
      </c>
      <c r="D32" s="25" t="s">
        <v>44</v>
      </c>
      <c r="E32" s="7" t="n">
        <v>2</v>
      </c>
      <c r="F32" s="7" t="n">
        <v>1</v>
      </c>
      <c r="G32" s="26" t="s">
        <v>82</v>
      </c>
      <c r="H32" s="6"/>
      <c r="I32" s="6"/>
    </row>
    <row r="33" customFormat="false" ht="15" hidden="false" customHeight="false" outlineLevel="0" collapsed="false">
      <c r="A33" s="16" t="s">
        <v>294</v>
      </c>
      <c r="B33" s="27" t="s">
        <v>288</v>
      </c>
      <c r="C33" s="10" t="s">
        <v>295</v>
      </c>
      <c r="D33" s="25" t="s">
        <v>44</v>
      </c>
      <c r="E33" s="11" t="n">
        <v>2</v>
      </c>
      <c r="F33" s="11" t="n">
        <v>1</v>
      </c>
      <c r="G33" s="28" t="s">
        <v>82</v>
      </c>
      <c r="H33" s="10"/>
      <c r="I33" s="10"/>
    </row>
    <row r="34" customFormat="false" ht="23.85" hidden="false" customHeight="false" outlineLevel="0" collapsed="false">
      <c r="A34" s="23" t="s">
        <v>296</v>
      </c>
      <c r="B34" s="24" t="s">
        <v>297</v>
      </c>
      <c r="C34" s="6" t="s">
        <v>298</v>
      </c>
      <c r="D34" s="25" t="s">
        <v>44</v>
      </c>
      <c r="E34" s="7" t="n">
        <v>2</v>
      </c>
      <c r="F34" s="7" t="n">
        <v>1</v>
      </c>
      <c r="G34" s="26" t="s">
        <v>82</v>
      </c>
      <c r="H34" s="6"/>
      <c r="I34" s="6"/>
    </row>
    <row r="35" customFormat="false" ht="15" hidden="false" customHeight="false" outlineLevel="0" collapsed="false">
      <c r="A35" s="16" t="s">
        <v>299</v>
      </c>
      <c r="B35" s="27" t="s">
        <v>297</v>
      </c>
      <c r="C35" s="10" t="s">
        <v>300</v>
      </c>
      <c r="D35" s="25" t="s">
        <v>44</v>
      </c>
      <c r="E35" s="11" t="n">
        <v>2</v>
      </c>
      <c r="F35" s="11" t="n">
        <v>1</v>
      </c>
      <c r="G35" s="28" t="s">
        <v>82</v>
      </c>
      <c r="H35" s="10"/>
      <c r="I35" s="10"/>
    </row>
    <row r="36" customFormat="false" ht="15" hidden="false" customHeight="false" outlineLevel="0" collapsed="false">
      <c r="A36" s="23" t="s">
        <v>301</v>
      </c>
      <c r="B36" s="24" t="s">
        <v>297</v>
      </c>
      <c r="C36" s="6" t="s">
        <v>302</v>
      </c>
      <c r="D36" s="25" t="s">
        <v>44</v>
      </c>
      <c r="E36" s="7" t="n">
        <v>2</v>
      </c>
      <c r="F36" s="7" t="n">
        <v>1</v>
      </c>
      <c r="G36" s="26" t="s">
        <v>82</v>
      </c>
      <c r="H36" s="6"/>
      <c r="I36" s="6"/>
    </row>
    <row r="37" customFormat="false" ht="15" hidden="false" customHeight="false" outlineLevel="0" collapsed="false">
      <c r="A37" s="16" t="s">
        <v>303</v>
      </c>
      <c r="B37" s="27" t="s">
        <v>297</v>
      </c>
      <c r="C37" s="10" t="s">
        <v>304</v>
      </c>
      <c r="D37" s="25" t="s">
        <v>44</v>
      </c>
      <c r="E37" s="11" t="n">
        <v>2</v>
      </c>
      <c r="F37" s="11" t="n">
        <v>0.5</v>
      </c>
      <c r="G37" s="28" t="s">
        <v>82</v>
      </c>
      <c r="H37" s="10"/>
      <c r="I37" s="10"/>
    </row>
    <row r="38" customFormat="false" ht="15" hidden="false" customHeight="false" outlineLevel="0" collapsed="false">
      <c r="A38" s="23" t="s">
        <v>305</v>
      </c>
      <c r="B38" s="24" t="s">
        <v>297</v>
      </c>
      <c r="C38" s="6" t="s">
        <v>306</v>
      </c>
      <c r="D38" s="25" t="s">
        <v>44</v>
      </c>
      <c r="E38" s="7" t="n">
        <v>2</v>
      </c>
      <c r="F38" s="7" t="n">
        <v>0.5</v>
      </c>
      <c r="G38" s="26" t="s">
        <v>82</v>
      </c>
      <c r="H38" s="6"/>
      <c r="I38" s="6"/>
    </row>
    <row r="39" customFormat="false" ht="15" hidden="false" customHeight="false" outlineLevel="0" collapsed="false">
      <c r="A39" s="16" t="s">
        <v>307</v>
      </c>
      <c r="B39" s="27" t="s">
        <v>308</v>
      </c>
      <c r="C39" s="10" t="s">
        <v>309</v>
      </c>
      <c r="D39" s="29" t="s">
        <v>123</v>
      </c>
      <c r="E39" s="11" t="n">
        <v>3</v>
      </c>
      <c r="F39" s="11" t="n">
        <v>1</v>
      </c>
      <c r="G39" s="28" t="s">
        <v>82</v>
      </c>
      <c r="H39" s="10"/>
      <c r="I39" s="10"/>
    </row>
    <row r="40" customFormat="false" ht="15" hidden="false" customHeight="false" outlineLevel="0" collapsed="false">
      <c r="A40" s="23" t="s">
        <v>310</v>
      </c>
      <c r="B40" s="24" t="s">
        <v>308</v>
      </c>
      <c r="C40" s="6" t="s">
        <v>311</v>
      </c>
      <c r="D40" s="29" t="s">
        <v>123</v>
      </c>
      <c r="E40" s="7" t="n">
        <v>3</v>
      </c>
      <c r="F40" s="7" t="n">
        <v>0.5</v>
      </c>
      <c r="G40" s="26" t="s">
        <v>82</v>
      </c>
      <c r="H40" s="6"/>
      <c r="I40" s="6"/>
    </row>
    <row r="41" customFormat="false" ht="15" hidden="false" customHeight="false" outlineLevel="0" collapsed="false">
      <c r="A41" s="16" t="s">
        <v>312</v>
      </c>
      <c r="B41" s="27" t="s">
        <v>313</v>
      </c>
      <c r="C41" s="10" t="s">
        <v>314</v>
      </c>
      <c r="D41" s="29" t="s">
        <v>123</v>
      </c>
      <c r="E41" s="11" t="n">
        <v>3</v>
      </c>
      <c r="F41" s="11" t="n">
        <v>1</v>
      </c>
      <c r="G41" s="28" t="s">
        <v>82</v>
      </c>
      <c r="H41" s="10"/>
      <c r="I41" s="10"/>
    </row>
    <row r="42" customFormat="false" ht="23.85" hidden="false" customHeight="false" outlineLevel="0" collapsed="false">
      <c r="A42" s="23" t="s">
        <v>315</v>
      </c>
      <c r="B42" s="24" t="s">
        <v>313</v>
      </c>
      <c r="C42" s="6" t="s">
        <v>316</v>
      </c>
      <c r="D42" s="29" t="s">
        <v>123</v>
      </c>
      <c r="E42" s="7" t="n">
        <v>3</v>
      </c>
      <c r="F42" s="7" t="n">
        <v>1</v>
      </c>
      <c r="G42" s="26" t="s">
        <v>82</v>
      </c>
      <c r="H42" s="6"/>
      <c r="I42" s="6"/>
    </row>
    <row r="43" customFormat="false" ht="15" hidden="false" customHeight="false" outlineLevel="0" collapsed="false">
      <c r="A43" s="16" t="s">
        <v>317</v>
      </c>
      <c r="B43" s="27" t="s">
        <v>313</v>
      </c>
      <c r="C43" s="10" t="s">
        <v>318</v>
      </c>
      <c r="D43" s="29" t="s">
        <v>123</v>
      </c>
      <c r="E43" s="11" t="n">
        <v>3</v>
      </c>
      <c r="F43" s="11" t="n">
        <v>0.5</v>
      </c>
      <c r="G43" s="28" t="s">
        <v>82</v>
      </c>
      <c r="H43" s="10"/>
      <c r="I43" s="10"/>
    </row>
    <row r="44" customFormat="false" ht="23.85" hidden="false" customHeight="false" outlineLevel="0" collapsed="false">
      <c r="A44" s="23" t="s">
        <v>319</v>
      </c>
      <c r="B44" s="24" t="s">
        <v>320</v>
      </c>
      <c r="C44" s="6" t="s">
        <v>321</v>
      </c>
      <c r="D44" s="29" t="s">
        <v>123</v>
      </c>
      <c r="E44" s="7" t="n">
        <v>3</v>
      </c>
      <c r="F44" s="7" t="n">
        <v>1</v>
      </c>
      <c r="G44" s="26" t="s">
        <v>82</v>
      </c>
      <c r="H44" s="6"/>
      <c r="I44" s="6"/>
    </row>
    <row r="45" customFormat="false" ht="15" hidden="false" customHeight="false" outlineLevel="0" collapsed="false">
      <c r="A45" s="16" t="s">
        <v>322</v>
      </c>
      <c r="B45" s="27" t="s">
        <v>320</v>
      </c>
      <c r="C45" s="10" t="s">
        <v>323</v>
      </c>
      <c r="D45" s="29" t="s">
        <v>123</v>
      </c>
      <c r="E45" s="11" t="n">
        <v>3</v>
      </c>
      <c r="F45" s="11" t="n">
        <v>0.5</v>
      </c>
      <c r="G45" s="28" t="s">
        <v>82</v>
      </c>
      <c r="H45" s="10"/>
      <c r="I45" s="10"/>
    </row>
    <row r="46" customFormat="false" ht="15" hidden="false" customHeight="false" outlineLevel="0" collapsed="false">
      <c r="A46" s="23" t="s">
        <v>324</v>
      </c>
      <c r="B46" s="24" t="s">
        <v>325</v>
      </c>
      <c r="C46" s="6" t="s">
        <v>326</v>
      </c>
      <c r="D46" s="29" t="s">
        <v>123</v>
      </c>
      <c r="E46" s="7" t="n">
        <v>3</v>
      </c>
      <c r="F46" s="7" t="n">
        <v>1</v>
      </c>
      <c r="G46" s="26" t="s">
        <v>82</v>
      </c>
      <c r="H46" s="6"/>
      <c r="I46" s="6"/>
    </row>
    <row r="47" customFormat="false" ht="23.85" hidden="false" customHeight="false" outlineLevel="0" collapsed="false">
      <c r="A47" s="16" t="s">
        <v>327</v>
      </c>
      <c r="B47" s="27" t="s">
        <v>325</v>
      </c>
      <c r="C47" s="10" t="s">
        <v>328</v>
      </c>
      <c r="D47" s="29" t="s">
        <v>123</v>
      </c>
      <c r="E47" s="11" t="n">
        <v>3</v>
      </c>
      <c r="F47" s="11" t="n">
        <v>1</v>
      </c>
      <c r="G47" s="28" t="s">
        <v>82</v>
      </c>
      <c r="H47" s="10"/>
      <c r="I47" s="10"/>
    </row>
    <row r="48" customFormat="false" ht="23.85" hidden="false" customHeight="false" outlineLevel="0" collapsed="false">
      <c r="A48" s="23" t="s">
        <v>329</v>
      </c>
      <c r="B48" s="24" t="s">
        <v>141</v>
      </c>
      <c r="C48" s="6" t="s">
        <v>234</v>
      </c>
      <c r="D48" s="25" t="s">
        <v>44</v>
      </c>
      <c r="E48" s="7" t="n">
        <v>3</v>
      </c>
      <c r="F48" s="7" t="n">
        <v>1</v>
      </c>
      <c r="G48" s="26" t="s">
        <v>82</v>
      </c>
      <c r="H48" s="6"/>
      <c r="I48" s="6"/>
    </row>
    <row r="49" customFormat="false" ht="15" hidden="false" customHeight="false" outlineLevel="0" collapsed="false">
      <c r="A49" s="16" t="s">
        <v>330</v>
      </c>
      <c r="B49" s="27" t="s">
        <v>141</v>
      </c>
      <c r="C49" s="10" t="s">
        <v>236</v>
      </c>
      <c r="D49" s="25" t="s">
        <v>44</v>
      </c>
      <c r="E49" s="11" t="n">
        <v>3</v>
      </c>
      <c r="F49" s="11" t="n">
        <v>2</v>
      </c>
      <c r="G49" s="28" t="s">
        <v>82</v>
      </c>
      <c r="H49" s="10"/>
      <c r="I49" s="10"/>
    </row>
    <row r="51" customFormat="false" ht="15" hidden="false" customHeight="false" outlineLevel="0" collapsed="false">
      <c r="C51" s="30" t="s">
        <v>147</v>
      </c>
      <c r="F51" s="31" t="n">
        <f aca="false">SUM(F2:F49)</f>
        <v>41.5</v>
      </c>
    </row>
    <row r="52" customFormat="false" ht="15" hidden="false" customHeight="false" outlineLevel="0" collapsed="false">
      <c r="C52" s="30" t="s">
        <v>148</v>
      </c>
      <c r="F52" s="31" t="n">
        <f aca="false">SUMIF(G2:G49,"Feito",F2:F49)</f>
        <v>0</v>
      </c>
    </row>
  </sheetData>
  <autoFilter ref="A1:I49"/>
  <dataValidations count="1">
    <dataValidation allowBlank="true" errorStyle="stop" operator="between" showDropDown="false" showErrorMessage="false" showInputMessage="false" sqref="G2:G49" type="list">
      <formula1>"Backlog,A Fazer,Fazendo,Em Review,Feito"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28"/>
  </cols>
  <sheetData>
    <row r="1" customFormat="false" ht="23.85" hidden="false" customHeight="false" outlineLevel="0" collapsed="false">
      <c r="A1" s="34" t="s">
        <v>32</v>
      </c>
      <c r="B1" s="34" t="s">
        <v>33</v>
      </c>
      <c r="C1" s="34" t="s">
        <v>34</v>
      </c>
      <c r="D1" s="34" t="s">
        <v>35</v>
      </c>
      <c r="E1" s="34" t="s">
        <v>36</v>
      </c>
      <c r="F1" s="34" t="s">
        <v>37</v>
      </c>
      <c r="G1" s="34" t="s">
        <v>38</v>
      </c>
      <c r="H1" s="34" t="s">
        <v>39</v>
      </c>
      <c r="I1" s="34" t="s">
        <v>40</v>
      </c>
    </row>
    <row r="2" customFormat="false" ht="15" hidden="false" customHeight="false" outlineLevel="0" collapsed="false">
      <c r="A2" s="23" t="s">
        <v>331</v>
      </c>
      <c r="B2" s="24" t="s">
        <v>332</v>
      </c>
      <c r="C2" s="6" t="s">
        <v>43</v>
      </c>
      <c r="D2" s="25" t="s">
        <v>44</v>
      </c>
      <c r="E2" s="7" t="n">
        <v>1</v>
      </c>
      <c r="F2" s="7" t="n">
        <v>0.5</v>
      </c>
      <c r="G2" s="26" t="s">
        <v>45</v>
      </c>
      <c r="H2" s="6"/>
      <c r="I2" s="6"/>
    </row>
    <row r="3" customFormat="false" ht="15" hidden="false" customHeight="false" outlineLevel="0" collapsed="false">
      <c r="A3" s="16" t="s">
        <v>333</v>
      </c>
      <c r="B3" s="27" t="s">
        <v>332</v>
      </c>
      <c r="C3" s="10" t="s">
        <v>47</v>
      </c>
      <c r="D3" s="25" t="s">
        <v>44</v>
      </c>
      <c r="E3" s="11" t="n">
        <v>1</v>
      </c>
      <c r="F3" s="11" t="n">
        <v>0.5</v>
      </c>
      <c r="G3" s="28" t="s">
        <v>45</v>
      </c>
      <c r="H3" s="10"/>
      <c r="I3" s="10"/>
    </row>
    <row r="4" customFormat="false" ht="15" hidden="false" customHeight="false" outlineLevel="0" collapsed="false">
      <c r="A4" s="23" t="s">
        <v>334</v>
      </c>
      <c r="B4" s="24" t="s">
        <v>332</v>
      </c>
      <c r="C4" s="6" t="s">
        <v>49</v>
      </c>
      <c r="D4" s="25" t="s">
        <v>44</v>
      </c>
      <c r="E4" s="7" t="n">
        <v>1</v>
      </c>
      <c r="F4" s="7" t="n">
        <v>1</v>
      </c>
      <c r="G4" s="26" t="s">
        <v>45</v>
      </c>
      <c r="H4" s="6"/>
      <c r="I4" s="6"/>
    </row>
    <row r="5" customFormat="false" ht="23.85" hidden="false" customHeight="false" outlineLevel="0" collapsed="false">
      <c r="A5" s="16" t="s">
        <v>335</v>
      </c>
      <c r="B5" s="27" t="s">
        <v>332</v>
      </c>
      <c r="C5" s="10" t="s">
        <v>51</v>
      </c>
      <c r="D5" s="25" t="s">
        <v>44</v>
      </c>
      <c r="E5" s="11" t="n">
        <v>1</v>
      </c>
      <c r="F5" s="11" t="n">
        <v>1</v>
      </c>
      <c r="G5" s="28" t="s">
        <v>45</v>
      </c>
      <c r="H5" s="10"/>
      <c r="I5" s="10"/>
    </row>
    <row r="6" customFormat="false" ht="15" hidden="false" customHeight="false" outlineLevel="0" collapsed="false">
      <c r="A6" s="23" t="s">
        <v>336</v>
      </c>
      <c r="B6" s="24" t="s">
        <v>337</v>
      </c>
      <c r="C6" s="6" t="s">
        <v>54</v>
      </c>
      <c r="D6" s="25" t="s">
        <v>44</v>
      </c>
      <c r="E6" s="7" t="n">
        <v>1</v>
      </c>
      <c r="F6" s="7" t="n">
        <v>0.5</v>
      </c>
      <c r="G6" s="26" t="s">
        <v>45</v>
      </c>
      <c r="H6" s="6"/>
      <c r="I6" s="6"/>
    </row>
    <row r="7" customFormat="false" ht="15" hidden="false" customHeight="false" outlineLevel="0" collapsed="false">
      <c r="A7" s="16" t="s">
        <v>338</v>
      </c>
      <c r="B7" s="27" t="s">
        <v>337</v>
      </c>
      <c r="C7" s="10" t="s">
        <v>56</v>
      </c>
      <c r="D7" s="25" t="s">
        <v>44</v>
      </c>
      <c r="E7" s="11" t="n">
        <v>1</v>
      </c>
      <c r="F7" s="11" t="n">
        <v>0.5</v>
      </c>
      <c r="G7" s="28" t="s">
        <v>45</v>
      </c>
      <c r="H7" s="10"/>
      <c r="I7" s="10"/>
    </row>
    <row r="8" customFormat="false" ht="15" hidden="false" customHeight="false" outlineLevel="0" collapsed="false">
      <c r="A8" s="23" t="s">
        <v>339</v>
      </c>
      <c r="B8" s="24" t="s">
        <v>337</v>
      </c>
      <c r="C8" s="6" t="s">
        <v>58</v>
      </c>
      <c r="D8" s="25" t="s">
        <v>44</v>
      </c>
      <c r="E8" s="7" t="n">
        <v>1</v>
      </c>
      <c r="F8" s="7" t="n">
        <v>1</v>
      </c>
      <c r="G8" s="26" t="s">
        <v>45</v>
      </c>
      <c r="H8" s="6"/>
      <c r="I8" s="6"/>
    </row>
    <row r="9" customFormat="false" ht="15" hidden="false" customHeight="false" outlineLevel="0" collapsed="false">
      <c r="A9" s="16" t="s">
        <v>340</v>
      </c>
      <c r="B9" s="27" t="s">
        <v>337</v>
      </c>
      <c r="C9" s="10" t="s">
        <v>60</v>
      </c>
      <c r="D9" s="25" t="s">
        <v>44</v>
      </c>
      <c r="E9" s="11" t="n">
        <v>1</v>
      </c>
      <c r="F9" s="11" t="n">
        <v>1.5</v>
      </c>
      <c r="G9" s="28" t="s">
        <v>45</v>
      </c>
      <c r="H9" s="10"/>
      <c r="I9" s="10"/>
    </row>
    <row r="10" customFormat="false" ht="15" hidden="false" customHeight="false" outlineLevel="0" collapsed="false">
      <c r="A10" s="23" t="s">
        <v>341</v>
      </c>
      <c r="B10" s="24" t="s">
        <v>342</v>
      </c>
      <c r="C10" s="6" t="s">
        <v>63</v>
      </c>
      <c r="D10" s="25" t="s">
        <v>44</v>
      </c>
      <c r="E10" s="7" t="n">
        <v>1</v>
      </c>
      <c r="F10" s="7" t="n">
        <v>0.5</v>
      </c>
      <c r="G10" s="26" t="s">
        <v>45</v>
      </c>
      <c r="H10" s="6"/>
      <c r="I10" s="6"/>
    </row>
    <row r="11" customFormat="false" ht="15" hidden="false" customHeight="false" outlineLevel="0" collapsed="false">
      <c r="A11" s="16" t="s">
        <v>343</v>
      </c>
      <c r="B11" s="27" t="s">
        <v>342</v>
      </c>
      <c r="C11" s="10" t="s">
        <v>65</v>
      </c>
      <c r="D11" s="25" t="s">
        <v>44</v>
      </c>
      <c r="E11" s="11" t="n">
        <v>1</v>
      </c>
      <c r="F11" s="11" t="n">
        <v>1</v>
      </c>
      <c r="G11" s="28" t="s">
        <v>45</v>
      </c>
      <c r="H11" s="10"/>
      <c r="I11" s="10"/>
    </row>
    <row r="12" customFormat="false" ht="15" hidden="false" customHeight="false" outlineLevel="0" collapsed="false">
      <c r="A12" s="23" t="s">
        <v>344</v>
      </c>
      <c r="B12" s="24" t="s">
        <v>342</v>
      </c>
      <c r="C12" s="6" t="s">
        <v>67</v>
      </c>
      <c r="D12" s="25" t="s">
        <v>44</v>
      </c>
      <c r="E12" s="7" t="n">
        <v>1</v>
      </c>
      <c r="F12" s="7" t="n">
        <v>0.5</v>
      </c>
      <c r="G12" s="26" t="s">
        <v>45</v>
      </c>
      <c r="H12" s="6"/>
      <c r="I12" s="6"/>
    </row>
    <row r="13" customFormat="false" ht="15" hidden="false" customHeight="false" outlineLevel="0" collapsed="false">
      <c r="A13" s="16" t="s">
        <v>345</v>
      </c>
      <c r="B13" s="27" t="s">
        <v>342</v>
      </c>
      <c r="C13" s="10" t="s">
        <v>69</v>
      </c>
      <c r="D13" s="25" t="s">
        <v>44</v>
      </c>
      <c r="E13" s="11" t="n">
        <v>1</v>
      </c>
      <c r="F13" s="11" t="n">
        <v>0.5</v>
      </c>
      <c r="G13" s="28" t="s">
        <v>45</v>
      </c>
      <c r="H13" s="10"/>
      <c r="I13" s="10"/>
    </row>
    <row r="14" customFormat="false" ht="15" hidden="false" customHeight="false" outlineLevel="0" collapsed="false">
      <c r="A14" s="23" t="s">
        <v>346</v>
      </c>
      <c r="B14" s="24" t="s">
        <v>347</v>
      </c>
      <c r="C14" s="6" t="s">
        <v>72</v>
      </c>
      <c r="D14" s="25" t="s">
        <v>44</v>
      </c>
      <c r="E14" s="7" t="n">
        <v>1</v>
      </c>
      <c r="F14" s="7" t="n">
        <v>1</v>
      </c>
      <c r="G14" s="26" t="s">
        <v>45</v>
      </c>
      <c r="H14" s="6"/>
      <c r="I14" s="6"/>
    </row>
    <row r="15" customFormat="false" ht="15" hidden="false" customHeight="false" outlineLevel="0" collapsed="false">
      <c r="A15" s="16" t="s">
        <v>348</v>
      </c>
      <c r="B15" s="27" t="s">
        <v>347</v>
      </c>
      <c r="C15" s="10" t="s">
        <v>74</v>
      </c>
      <c r="D15" s="25" t="s">
        <v>44</v>
      </c>
      <c r="E15" s="11" t="n">
        <v>1</v>
      </c>
      <c r="F15" s="11" t="n">
        <v>1</v>
      </c>
      <c r="G15" s="28" t="s">
        <v>45</v>
      </c>
      <c r="H15" s="10"/>
      <c r="I15" s="10"/>
    </row>
    <row r="16" customFormat="false" ht="15" hidden="false" customHeight="false" outlineLevel="0" collapsed="false">
      <c r="A16" s="23" t="s">
        <v>349</v>
      </c>
      <c r="B16" s="24" t="s">
        <v>347</v>
      </c>
      <c r="C16" s="6" t="s">
        <v>76</v>
      </c>
      <c r="D16" s="25" t="s">
        <v>44</v>
      </c>
      <c r="E16" s="7" t="n">
        <v>1</v>
      </c>
      <c r="F16" s="7" t="n">
        <v>1</v>
      </c>
      <c r="G16" s="26" t="s">
        <v>45</v>
      </c>
      <c r="H16" s="6"/>
      <c r="I16" s="6"/>
    </row>
    <row r="17" customFormat="false" ht="15" hidden="false" customHeight="false" outlineLevel="0" collapsed="false">
      <c r="A17" s="16" t="s">
        <v>350</v>
      </c>
      <c r="B17" s="27" t="s">
        <v>347</v>
      </c>
      <c r="C17" s="10" t="s">
        <v>78</v>
      </c>
      <c r="D17" s="25" t="s">
        <v>44</v>
      </c>
      <c r="E17" s="11" t="n">
        <v>1</v>
      </c>
      <c r="F17" s="11" t="n">
        <v>1</v>
      </c>
      <c r="G17" s="28" t="s">
        <v>45</v>
      </c>
      <c r="H17" s="10"/>
      <c r="I17" s="10"/>
    </row>
    <row r="18" customFormat="false" ht="23.85" hidden="false" customHeight="false" outlineLevel="0" collapsed="false">
      <c r="A18" s="23" t="s">
        <v>351</v>
      </c>
      <c r="B18" s="24" t="s">
        <v>352</v>
      </c>
      <c r="C18" s="6" t="s">
        <v>353</v>
      </c>
      <c r="D18" s="25" t="s">
        <v>44</v>
      </c>
      <c r="E18" s="7" t="n">
        <v>2</v>
      </c>
      <c r="F18" s="7" t="n">
        <v>0.5</v>
      </c>
      <c r="G18" s="26" t="s">
        <v>82</v>
      </c>
      <c r="H18" s="6"/>
      <c r="I18" s="6"/>
    </row>
    <row r="19" customFormat="false" ht="15" hidden="false" customHeight="false" outlineLevel="0" collapsed="false">
      <c r="A19" s="16" t="s">
        <v>354</v>
      </c>
      <c r="B19" s="27" t="s">
        <v>352</v>
      </c>
      <c r="C19" s="10" t="s">
        <v>355</v>
      </c>
      <c r="D19" s="25" t="s">
        <v>44</v>
      </c>
      <c r="E19" s="11" t="n">
        <v>2</v>
      </c>
      <c r="F19" s="11" t="n">
        <v>0.5</v>
      </c>
      <c r="G19" s="28" t="s">
        <v>82</v>
      </c>
      <c r="H19" s="10"/>
      <c r="I19" s="10"/>
    </row>
    <row r="20" customFormat="false" ht="23.85" hidden="false" customHeight="false" outlineLevel="0" collapsed="false">
      <c r="A20" s="23" t="s">
        <v>356</v>
      </c>
      <c r="B20" s="24" t="s">
        <v>352</v>
      </c>
      <c r="C20" s="6" t="s">
        <v>357</v>
      </c>
      <c r="D20" s="25" t="s">
        <v>44</v>
      </c>
      <c r="E20" s="7" t="n">
        <v>2</v>
      </c>
      <c r="F20" s="7" t="n">
        <v>1</v>
      </c>
      <c r="G20" s="26" t="s">
        <v>82</v>
      </c>
      <c r="H20" s="6"/>
      <c r="I20" s="6"/>
    </row>
    <row r="21" customFormat="false" ht="15" hidden="false" customHeight="false" outlineLevel="0" collapsed="false">
      <c r="A21" s="16" t="s">
        <v>358</v>
      </c>
      <c r="B21" s="27" t="s">
        <v>352</v>
      </c>
      <c r="C21" s="10" t="s">
        <v>359</v>
      </c>
      <c r="D21" s="25" t="s">
        <v>44</v>
      </c>
      <c r="E21" s="11" t="n">
        <v>2</v>
      </c>
      <c r="F21" s="11" t="n">
        <v>1.5</v>
      </c>
      <c r="G21" s="28" t="s">
        <v>82</v>
      </c>
      <c r="H21" s="10"/>
      <c r="I21" s="10"/>
    </row>
    <row r="22" customFormat="false" ht="15" hidden="false" customHeight="false" outlineLevel="0" collapsed="false">
      <c r="A22" s="23" t="s">
        <v>360</v>
      </c>
      <c r="B22" s="24" t="s">
        <v>352</v>
      </c>
      <c r="C22" s="6" t="s">
        <v>361</v>
      </c>
      <c r="D22" s="25" t="s">
        <v>44</v>
      </c>
      <c r="E22" s="7" t="n">
        <v>2</v>
      </c>
      <c r="F22" s="7" t="n">
        <v>1</v>
      </c>
      <c r="G22" s="26" t="s">
        <v>82</v>
      </c>
      <c r="H22" s="6"/>
      <c r="I22" s="6"/>
    </row>
    <row r="23" customFormat="false" ht="15" hidden="false" customHeight="false" outlineLevel="0" collapsed="false">
      <c r="A23" s="16" t="s">
        <v>362</v>
      </c>
      <c r="B23" s="27" t="s">
        <v>352</v>
      </c>
      <c r="C23" s="10" t="s">
        <v>363</v>
      </c>
      <c r="D23" s="25" t="s">
        <v>44</v>
      </c>
      <c r="E23" s="11" t="n">
        <v>2</v>
      </c>
      <c r="F23" s="11" t="n">
        <v>1</v>
      </c>
      <c r="G23" s="28" t="s">
        <v>82</v>
      </c>
      <c r="H23" s="10"/>
      <c r="I23" s="10"/>
    </row>
    <row r="24" customFormat="false" ht="23.85" hidden="false" customHeight="false" outlineLevel="0" collapsed="false">
      <c r="A24" s="23" t="s">
        <v>364</v>
      </c>
      <c r="B24" s="24" t="s">
        <v>365</v>
      </c>
      <c r="C24" s="6" t="s">
        <v>366</v>
      </c>
      <c r="D24" s="25" t="s">
        <v>44</v>
      </c>
      <c r="E24" s="7" t="n">
        <v>2</v>
      </c>
      <c r="F24" s="7" t="n">
        <v>1</v>
      </c>
      <c r="G24" s="26" t="s">
        <v>82</v>
      </c>
      <c r="H24" s="6"/>
      <c r="I24" s="6"/>
    </row>
    <row r="25" customFormat="false" ht="23.85" hidden="false" customHeight="false" outlineLevel="0" collapsed="false">
      <c r="A25" s="16" t="s">
        <v>367</v>
      </c>
      <c r="B25" s="27" t="s">
        <v>365</v>
      </c>
      <c r="C25" s="10" t="s">
        <v>368</v>
      </c>
      <c r="D25" s="25" t="s">
        <v>44</v>
      </c>
      <c r="E25" s="11" t="n">
        <v>2</v>
      </c>
      <c r="F25" s="11" t="n">
        <v>1</v>
      </c>
      <c r="G25" s="28" t="s">
        <v>82</v>
      </c>
      <c r="H25" s="10"/>
      <c r="I25" s="10"/>
    </row>
    <row r="26" customFormat="false" ht="15" hidden="false" customHeight="false" outlineLevel="0" collapsed="false">
      <c r="A26" s="23" t="s">
        <v>369</v>
      </c>
      <c r="B26" s="24" t="s">
        <v>365</v>
      </c>
      <c r="C26" s="6" t="s">
        <v>370</v>
      </c>
      <c r="D26" s="25" t="s">
        <v>44</v>
      </c>
      <c r="E26" s="7" t="n">
        <v>2</v>
      </c>
      <c r="F26" s="7" t="n">
        <v>1</v>
      </c>
      <c r="G26" s="26" t="s">
        <v>82</v>
      </c>
      <c r="H26" s="6"/>
      <c r="I26" s="6"/>
    </row>
    <row r="27" customFormat="false" ht="15" hidden="false" customHeight="false" outlineLevel="0" collapsed="false">
      <c r="A27" s="16" t="s">
        <v>371</v>
      </c>
      <c r="B27" s="27" t="s">
        <v>372</v>
      </c>
      <c r="C27" s="10" t="s">
        <v>373</v>
      </c>
      <c r="D27" s="25" t="s">
        <v>44</v>
      </c>
      <c r="E27" s="11" t="n">
        <v>2</v>
      </c>
      <c r="F27" s="11" t="n">
        <v>0.5</v>
      </c>
      <c r="G27" s="28" t="s">
        <v>82</v>
      </c>
      <c r="H27" s="10"/>
      <c r="I27" s="10"/>
    </row>
    <row r="28" customFormat="false" ht="15" hidden="false" customHeight="false" outlineLevel="0" collapsed="false">
      <c r="A28" s="23" t="s">
        <v>374</v>
      </c>
      <c r="B28" s="24" t="s">
        <v>372</v>
      </c>
      <c r="C28" s="6" t="s">
        <v>375</v>
      </c>
      <c r="D28" s="25" t="s">
        <v>44</v>
      </c>
      <c r="E28" s="7" t="n">
        <v>2</v>
      </c>
      <c r="F28" s="7" t="n">
        <v>1</v>
      </c>
      <c r="G28" s="26" t="s">
        <v>82</v>
      </c>
      <c r="H28" s="6"/>
      <c r="I28" s="6"/>
    </row>
    <row r="29" customFormat="false" ht="15" hidden="false" customHeight="false" outlineLevel="0" collapsed="false">
      <c r="A29" s="16" t="s">
        <v>376</v>
      </c>
      <c r="B29" s="27" t="s">
        <v>377</v>
      </c>
      <c r="C29" s="10" t="s">
        <v>378</v>
      </c>
      <c r="D29" s="25" t="s">
        <v>44</v>
      </c>
      <c r="E29" s="11" t="n">
        <v>2</v>
      </c>
      <c r="F29" s="11" t="n">
        <v>1</v>
      </c>
      <c r="G29" s="28" t="s">
        <v>82</v>
      </c>
      <c r="H29" s="10"/>
      <c r="I29" s="10"/>
    </row>
    <row r="30" customFormat="false" ht="23.85" hidden="false" customHeight="false" outlineLevel="0" collapsed="false">
      <c r="A30" s="23" t="s">
        <v>379</v>
      </c>
      <c r="B30" s="24" t="s">
        <v>377</v>
      </c>
      <c r="C30" s="6" t="s">
        <v>380</v>
      </c>
      <c r="D30" s="25" t="s">
        <v>44</v>
      </c>
      <c r="E30" s="7" t="n">
        <v>2</v>
      </c>
      <c r="F30" s="7" t="n">
        <v>1</v>
      </c>
      <c r="G30" s="26" t="s">
        <v>82</v>
      </c>
      <c r="H30" s="6"/>
      <c r="I30" s="6"/>
    </row>
    <row r="31" customFormat="false" ht="15" hidden="false" customHeight="false" outlineLevel="0" collapsed="false">
      <c r="A31" s="16" t="s">
        <v>381</v>
      </c>
      <c r="B31" s="27" t="s">
        <v>377</v>
      </c>
      <c r="C31" s="10" t="s">
        <v>382</v>
      </c>
      <c r="D31" s="25" t="s">
        <v>44</v>
      </c>
      <c r="E31" s="11" t="n">
        <v>2</v>
      </c>
      <c r="F31" s="11" t="n">
        <v>1</v>
      </c>
      <c r="G31" s="28" t="s">
        <v>82</v>
      </c>
      <c r="H31" s="10"/>
      <c r="I31" s="10"/>
    </row>
    <row r="32" customFormat="false" ht="23.85" hidden="false" customHeight="false" outlineLevel="0" collapsed="false">
      <c r="A32" s="23" t="s">
        <v>383</v>
      </c>
      <c r="B32" s="24" t="s">
        <v>377</v>
      </c>
      <c r="C32" s="6" t="s">
        <v>384</v>
      </c>
      <c r="D32" s="25" t="s">
        <v>44</v>
      </c>
      <c r="E32" s="7" t="n">
        <v>2</v>
      </c>
      <c r="F32" s="7" t="n">
        <v>1</v>
      </c>
      <c r="G32" s="26" t="s">
        <v>82</v>
      </c>
      <c r="H32" s="6"/>
      <c r="I32" s="6"/>
    </row>
    <row r="33" customFormat="false" ht="15" hidden="false" customHeight="false" outlineLevel="0" collapsed="false">
      <c r="A33" s="16" t="s">
        <v>385</v>
      </c>
      <c r="B33" s="27" t="s">
        <v>377</v>
      </c>
      <c r="C33" s="10" t="s">
        <v>386</v>
      </c>
      <c r="D33" s="25" t="s">
        <v>44</v>
      </c>
      <c r="E33" s="11" t="n">
        <v>2</v>
      </c>
      <c r="F33" s="11" t="n">
        <v>0.5</v>
      </c>
      <c r="G33" s="28" t="s">
        <v>82</v>
      </c>
      <c r="H33" s="10"/>
      <c r="I33" s="10"/>
    </row>
    <row r="34" customFormat="false" ht="15" hidden="false" customHeight="false" outlineLevel="0" collapsed="false">
      <c r="A34" s="23" t="s">
        <v>387</v>
      </c>
      <c r="B34" s="24" t="s">
        <v>388</v>
      </c>
      <c r="C34" s="6" t="s">
        <v>389</v>
      </c>
      <c r="D34" s="25" t="s">
        <v>44</v>
      </c>
      <c r="E34" s="7" t="n">
        <v>2</v>
      </c>
      <c r="F34" s="7" t="n">
        <v>1</v>
      </c>
      <c r="G34" s="26" t="s">
        <v>82</v>
      </c>
      <c r="H34" s="6"/>
      <c r="I34" s="6"/>
    </row>
    <row r="35" customFormat="false" ht="15" hidden="false" customHeight="false" outlineLevel="0" collapsed="false">
      <c r="A35" s="16" t="s">
        <v>390</v>
      </c>
      <c r="B35" s="27" t="s">
        <v>388</v>
      </c>
      <c r="C35" s="10" t="s">
        <v>391</v>
      </c>
      <c r="D35" s="25" t="s">
        <v>44</v>
      </c>
      <c r="E35" s="11" t="n">
        <v>2</v>
      </c>
      <c r="F35" s="11" t="n">
        <v>1</v>
      </c>
      <c r="G35" s="28" t="s">
        <v>82</v>
      </c>
      <c r="H35" s="10"/>
      <c r="I35" s="10"/>
    </row>
    <row r="36" customFormat="false" ht="23.85" hidden="false" customHeight="false" outlineLevel="0" collapsed="false">
      <c r="A36" s="23" t="s">
        <v>392</v>
      </c>
      <c r="B36" s="24" t="s">
        <v>393</v>
      </c>
      <c r="C36" s="6" t="s">
        <v>394</v>
      </c>
      <c r="D36" s="29" t="s">
        <v>123</v>
      </c>
      <c r="E36" s="7" t="n">
        <v>3</v>
      </c>
      <c r="F36" s="7" t="n">
        <v>1</v>
      </c>
      <c r="G36" s="26" t="s">
        <v>82</v>
      </c>
      <c r="H36" s="6"/>
      <c r="I36" s="6"/>
    </row>
    <row r="37" customFormat="false" ht="23.85" hidden="false" customHeight="false" outlineLevel="0" collapsed="false">
      <c r="A37" s="16" t="s">
        <v>395</v>
      </c>
      <c r="B37" s="27" t="s">
        <v>393</v>
      </c>
      <c r="C37" s="10" t="s">
        <v>396</v>
      </c>
      <c r="D37" s="29" t="s">
        <v>123</v>
      </c>
      <c r="E37" s="11" t="n">
        <v>3</v>
      </c>
      <c r="F37" s="11" t="n">
        <v>1</v>
      </c>
      <c r="G37" s="28" t="s">
        <v>82</v>
      </c>
      <c r="H37" s="10"/>
      <c r="I37" s="10"/>
    </row>
    <row r="38" customFormat="false" ht="23.85" hidden="false" customHeight="false" outlineLevel="0" collapsed="false">
      <c r="A38" s="23" t="s">
        <v>397</v>
      </c>
      <c r="B38" s="24" t="s">
        <v>393</v>
      </c>
      <c r="C38" s="6" t="s">
        <v>398</v>
      </c>
      <c r="D38" s="29" t="s">
        <v>123</v>
      </c>
      <c r="E38" s="7" t="n">
        <v>3</v>
      </c>
      <c r="F38" s="7" t="n">
        <v>0.5</v>
      </c>
      <c r="G38" s="26" t="s">
        <v>82</v>
      </c>
      <c r="H38" s="6"/>
      <c r="I38" s="6"/>
    </row>
    <row r="39" customFormat="false" ht="15" hidden="false" customHeight="false" outlineLevel="0" collapsed="false">
      <c r="A39" s="16" t="s">
        <v>399</v>
      </c>
      <c r="B39" s="27" t="s">
        <v>400</v>
      </c>
      <c r="C39" s="10" t="s">
        <v>314</v>
      </c>
      <c r="D39" s="29" t="s">
        <v>123</v>
      </c>
      <c r="E39" s="11" t="n">
        <v>3</v>
      </c>
      <c r="F39" s="11" t="n">
        <v>0.5</v>
      </c>
      <c r="G39" s="28" t="s">
        <v>82</v>
      </c>
      <c r="H39" s="10"/>
      <c r="I39" s="10"/>
    </row>
    <row r="40" customFormat="false" ht="15" hidden="false" customHeight="false" outlineLevel="0" collapsed="false">
      <c r="A40" s="23" t="s">
        <v>401</v>
      </c>
      <c r="B40" s="24" t="s">
        <v>400</v>
      </c>
      <c r="C40" s="6" t="s">
        <v>402</v>
      </c>
      <c r="D40" s="29" t="s">
        <v>123</v>
      </c>
      <c r="E40" s="7" t="n">
        <v>3</v>
      </c>
      <c r="F40" s="7" t="n">
        <v>1</v>
      </c>
      <c r="G40" s="26" t="s">
        <v>82</v>
      </c>
      <c r="H40" s="6"/>
      <c r="I40" s="6"/>
    </row>
    <row r="41" customFormat="false" ht="15" hidden="false" customHeight="false" outlineLevel="0" collapsed="false">
      <c r="A41" s="16" t="s">
        <v>403</v>
      </c>
      <c r="B41" s="27" t="s">
        <v>400</v>
      </c>
      <c r="C41" s="10" t="s">
        <v>404</v>
      </c>
      <c r="D41" s="29" t="s">
        <v>123</v>
      </c>
      <c r="E41" s="11" t="n">
        <v>3</v>
      </c>
      <c r="F41" s="11" t="n">
        <v>0.5</v>
      </c>
      <c r="G41" s="28" t="s">
        <v>82</v>
      </c>
      <c r="H41" s="10"/>
      <c r="I41" s="10"/>
    </row>
    <row r="42" customFormat="false" ht="15" hidden="false" customHeight="false" outlineLevel="0" collapsed="false">
      <c r="A42" s="23" t="s">
        <v>405</v>
      </c>
      <c r="B42" s="24" t="s">
        <v>406</v>
      </c>
      <c r="C42" s="6" t="s">
        <v>130</v>
      </c>
      <c r="D42" s="29" t="s">
        <v>123</v>
      </c>
      <c r="E42" s="7" t="n">
        <v>3</v>
      </c>
      <c r="F42" s="7" t="n">
        <v>1</v>
      </c>
      <c r="G42" s="26" t="s">
        <v>82</v>
      </c>
      <c r="H42" s="6"/>
      <c r="I42" s="6"/>
    </row>
    <row r="43" customFormat="false" ht="15" hidden="false" customHeight="false" outlineLevel="0" collapsed="false">
      <c r="A43" s="16" t="s">
        <v>407</v>
      </c>
      <c r="B43" s="27" t="s">
        <v>406</v>
      </c>
      <c r="C43" s="10" t="s">
        <v>408</v>
      </c>
      <c r="D43" s="29" t="s">
        <v>123</v>
      </c>
      <c r="E43" s="11" t="n">
        <v>3</v>
      </c>
      <c r="F43" s="11" t="n">
        <v>0.5</v>
      </c>
      <c r="G43" s="28" t="s">
        <v>82</v>
      </c>
      <c r="H43" s="10"/>
      <c r="I43" s="10"/>
    </row>
    <row r="44" customFormat="false" ht="15" hidden="false" customHeight="false" outlineLevel="0" collapsed="false">
      <c r="A44" s="23" t="s">
        <v>409</v>
      </c>
      <c r="B44" s="24" t="s">
        <v>406</v>
      </c>
      <c r="C44" s="6" t="s">
        <v>410</v>
      </c>
      <c r="D44" s="29" t="s">
        <v>123</v>
      </c>
      <c r="E44" s="7" t="n">
        <v>3</v>
      </c>
      <c r="F44" s="7" t="n">
        <v>0.5</v>
      </c>
      <c r="G44" s="26" t="s">
        <v>82</v>
      </c>
      <c r="H44" s="6"/>
      <c r="I44" s="6"/>
    </row>
    <row r="45" customFormat="false" ht="23.85" hidden="false" customHeight="false" outlineLevel="0" collapsed="false">
      <c r="A45" s="16" t="s">
        <v>411</v>
      </c>
      <c r="B45" s="27" t="s">
        <v>141</v>
      </c>
      <c r="C45" s="10" t="s">
        <v>234</v>
      </c>
      <c r="D45" s="25" t="s">
        <v>44</v>
      </c>
      <c r="E45" s="11" t="n">
        <v>3</v>
      </c>
      <c r="F45" s="11" t="n">
        <v>1</v>
      </c>
      <c r="G45" s="28" t="s">
        <v>82</v>
      </c>
      <c r="H45" s="10"/>
      <c r="I45" s="10"/>
    </row>
    <row r="46" customFormat="false" ht="15" hidden="false" customHeight="false" outlineLevel="0" collapsed="false">
      <c r="A46" s="23" t="s">
        <v>412</v>
      </c>
      <c r="B46" s="24" t="s">
        <v>141</v>
      </c>
      <c r="C46" s="6" t="s">
        <v>236</v>
      </c>
      <c r="D46" s="25" t="s">
        <v>44</v>
      </c>
      <c r="E46" s="7" t="n">
        <v>3</v>
      </c>
      <c r="F46" s="7" t="n">
        <v>2</v>
      </c>
      <c r="G46" s="26" t="s">
        <v>82</v>
      </c>
      <c r="H46" s="6"/>
      <c r="I46" s="6"/>
    </row>
    <row r="47" customFormat="false" ht="23.85" hidden="false" customHeight="false" outlineLevel="0" collapsed="false">
      <c r="A47" s="16" t="s">
        <v>413</v>
      </c>
      <c r="B47" s="27" t="s">
        <v>141</v>
      </c>
      <c r="C47" s="10" t="s">
        <v>414</v>
      </c>
      <c r="D47" s="25" t="s">
        <v>44</v>
      </c>
      <c r="E47" s="11" t="n">
        <v>3</v>
      </c>
      <c r="F47" s="11" t="n">
        <v>0.5</v>
      </c>
      <c r="G47" s="28" t="s">
        <v>82</v>
      </c>
      <c r="H47" s="10"/>
      <c r="I47" s="10"/>
    </row>
    <row r="49" customFormat="false" ht="15" hidden="false" customHeight="false" outlineLevel="0" collapsed="false">
      <c r="C49" s="30" t="s">
        <v>147</v>
      </c>
      <c r="F49" s="31" t="n">
        <f aca="false">SUM(F2:F47)</f>
        <v>39.5</v>
      </c>
    </row>
    <row r="50" customFormat="false" ht="15" hidden="false" customHeight="false" outlineLevel="0" collapsed="false">
      <c r="C50" s="30" t="s">
        <v>148</v>
      </c>
      <c r="F50" s="31" t="n">
        <f aca="false">SUMIF(G2:G47,"Feito",F2:F47)</f>
        <v>0</v>
      </c>
    </row>
  </sheetData>
  <autoFilter ref="A1:I47"/>
  <dataValidations count="1">
    <dataValidation allowBlank="true" errorStyle="stop" operator="between" showDropDown="false" showErrorMessage="false" showInputMessage="false" sqref="G2:G47" type="list">
      <formula1>"Backlog,A Fazer,Fazendo,Em Review,Feito"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28"/>
  </cols>
  <sheetData>
    <row r="1" customFormat="false" ht="23.85" hidden="false" customHeight="false" outlineLevel="0" collapsed="false">
      <c r="A1" s="35" t="s">
        <v>32</v>
      </c>
      <c r="B1" s="35" t="s">
        <v>33</v>
      </c>
      <c r="C1" s="35" t="s">
        <v>34</v>
      </c>
      <c r="D1" s="35" t="s">
        <v>35</v>
      </c>
      <c r="E1" s="35" t="s">
        <v>36</v>
      </c>
      <c r="F1" s="35" t="s">
        <v>37</v>
      </c>
      <c r="G1" s="35" t="s">
        <v>38</v>
      </c>
      <c r="H1" s="35" t="s">
        <v>39</v>
      </c>
      <c r="I1" s="35" t="s">
        <v>40</v>
      </c>
    </row>
    <row r="2" customFormat="false" ht="15" hidden="false" customHeight="false" outlineLevel="0" collapsed="false">
      <c r="A2" s="23" t="s">
        <v>415</v>
      </c>
      <c r="B2" s="24" t="s">
        <v>416</v>
      </c>
      <c r="C2" s="6" t="s">
        <v>43</v>
      </c>
      <c r="D2" s="25" t="s">
        <v>44</v>
      </c>
      <c r="E2" s="7" t="n">
        <v>1</v>
      </c>
      <c r="F2" s="7" t="n">
        <v>0.5</v>
      </c>
      <c r="G2" s="26" t="s">
        <v>45</v>
      </c>
      <c r="H2" s="6"/>
      <c r="I2" s="6"/>
    </row>
    <row r="3" customFormat="false" ht="15" hidden="false" customHeight="false" outlineLevel="0" collapsed="false">
      <c r="A3" s="16" t="s">
        <v>417</v>
      </c>
      <c r="B3" s="27" t="s">
        <v>416</v>
      </c>
      <c r="C3" s="10" t="s">
        <v>47</v>
      </c>
      <c r="D3" s="25" t="s">
        <v>44</v>
      </c>
      <c r="E3" s="11" t="n">
        <v>1</v>
      </c>
      <c r="F3" s="11" t="n">
        <v>0.5</v>
      </c>
      <c r="G3" s="28" t="s">
        <v>45</v>
      </c>
      <c r="H3" s="10"/>
      <c r="I3" s="10"/>
    </row>
    <row r="4" customFormat="false" ht="15" hidden="false" customHeight="false" outlineLevel="0" collapsed="false">
      <c r="A4" s="23" t="s">
        <v>418</v>
      </c>
      <c r="B4" s="24" t="s">
        <v>416</v>
      </c>
      <c r="C4" s="6" t="s">
        <v>49</v>
      </c>
      <c r="D4" s="25" t="s">
        <v>44</v>
      </c>
      <c r="E4" s="7" t="n">
        <v>1</v>
      </c>
      <c r="F4" s="7" t="n">
        <v>1</v>
      </c>
      <c r="G4" s="26" t="s">
        <v>45</v>
      </c>
      <c r="H4" s="6"/>
      <c r="I4" s="6"/>
    </row>
    <row r="5" customFormat="false" ht="23.85" hidden="false" customHeight="false" outlineLevel="0" collapsed="false">
      <c r="A5" s="16" t="s">
        <v>419</v>
      </c>
      <c r="B5" s="27" t="s">
        <v>416</v>
      </c>
      <c r="C5" s="10" t="s">
        <v>51</v>
      </c>
      <c r="D5" s="25" t="s">
        <v>44</v>
      </c>
      <c r="E5" s="11" t="n">
        <v>1</v>
      </c>
      <c r="F5" s="11" t="n">
        <v>1</v>
      </c>
      <c r="G5" s="28" t="s">
        <v>45</v>
      </c>
      <c r="H5" s="10"/>
      <c r="I5" s="10"/>
    </row>
    <row r="6" customFormat="false" ht="15" hidden="false" customHeight="false" outlineLevel="0" collapsed="false">
      <c r="A6" s="23" t="s">
        <v>420</v>
      </c>
      <c r="B6" s="24" t="s">
        <v>421</v>
      </c>
      <c r="C6" s="6" t="s">
        <v>54</v>
      </c>
      <c r="D6" s="25" t="s">
        <v>44</v>
      </c>
      <c r="E6" s="7" t="n">
        <v>1</v>
      </c>
      <c r="F6" s="7" t="n">
        <v>0.5</v>
      </c>
      <c r="G6" s="26" t="s">
        <v>45</v>
      </c>
      <c r="H6" s="6"/>
      <c r="I6" s="6"/>
    </row>
    <row r="7" customFormat="false" ht="15" hidden="false" customHeight="false" outlineLevel="0" collapsed="false">
      <c r="A7" s="16" t="s">
        <v>422</v>
      </c>
      <c r="B7" s="27" t="s">
        <v>421</v>
      </c>
      <c r="C7" s="10" t="s">
        <v>56</v>
      </c>
      <c r="D7" s="25" t="s">
        <v>44</v>
      </c>
      <c r="E7" s="11" t="n">
        <v>1</v>
      </c>
      <c r="F7" s="11" t="n">
        <v>0.5</v>
      </c>
      <c r="G7" s="28" t="s">
        <v>45</v>
      </c>
      <c r="H7" s="10"/>
      <c r="I7" s="10"/>
    </row>
    <row r="8" customFormat="false" ht="15" hidden="false" customHeight="false" outlineLevel="0" collapsed="false">
      <c r="A8" s="23" t="s">
        <v>423</v>
      </c>
      <c r="B8" s="24" t="s">
        <v>421</v>
      </c>
      <c r="C8" s="6" t="s">
        <v>58</v>
      </c>
      <c r="D8" s="25" t="s">
        <v>44</v>
      </c>
      <c r="E8" s="7" t="n">
        <v>1</v>
      </c>
      <c r="F8" s="7" t="n">
        <v>1</v>
      </c>
      <c r="G8" s="26" t="s">
        <v>45</v>
      </c>
      <c r="H8" s="6"/>
      <c r="I8" s="6"/>
    </row>
    <row r="9" customFormat="false" ht="15" hidden="false" customHeight="false" outlineLevel="0" collapsed="false">
      <c r="A9" s="16" t="s">
        <v>424</v>
      </c>
      <c r="B9" s="27" t="s">
        <v>421</v>
      </c>
      <c r="C9" s="10" t="s">
        <v>60</v>
      </c>
      <c r="D9" s="25" t="s">
        <v>44</v>
      </c>
      <c r="E9" s="11" t="n">
        <v>1</v>
      </c>
      <c r="F9" s="11" t="n">
        <v>1.5</v>
      </c>
      <c r="G9" s="28" t="s">
        <v>45</v>
      </c>
      <c r="H9" s="10"/>
      <c r="I9" s="10"/>
    </row>
    <row r="10" customFormat="false" ht="15" hidden="false" customHeight="false" outlineLevel="0" collapsed="false">
      <c r="A10" s="23" t="s">
        <v>425</v>
      </c>
      <c r="B10" s="24" t="s">
        <v>426</v>
      </c>
      <c r="C10" s="6" t="s">
        <v>63</v>
      </c>
      <c r="D10" s="25" t="s">
        <v>44</v>
      </c>
      <c r="E10" s="7" t="n">
        <v>1</v>
      </c>
      <c r="F10" s="7" t="n">
        <v>0.5</v>
      </c>
      <c r="G10" s="26" t="s">
        <v>45</v>
      </c>
      <c r="H10" s="6"/>
      <c r="I10" s="6"/>
    </row>
    <row r="11" customFormat="false" ht="15" hidden="false" customHeight="false" outlineLevel="0" collapsed="false">
      <c r="A11" s="16" t="s">
        <v>427</v>
      </c>
      <c r="B11" s="27" t="s">
        <v>426</v>
      </c>
      <c r="C11" s="10" t="s">
        <v>65</v>
      </c>
      <c r="D11" s="25" t="s">
        <v>44</v>
      </c>
      <c r="E11" s="11" t="n">
        <v>1</v>
      </c>
      <c r="F11" s="11" t="n">
        <v>1</v>
      </c>
      <c r="G11" s="28" t="s">
        <v>45</v>
      </c>
      <c r="H11" s="10"/>
      <c r="I11" s="10"/>
    </row>
    <row r="12" customFormat="false" ht="15" hidden="false" customHeight="false" outlineLevel="0" collapsed="false">
      <c r="A12" s="23" t="s">
        <v>428</v>
      </c>
      <c r="B12" s="24" t="s">
        <v>426</v>
      </c>
      <c r="C12" s="6" t="s">
        <v>67</v>
      </c>
      <c r="D12" s="25" t="s">
        <v>44</v>
      </c>
      <c r="E12" s="7" t="n">
        <v>1</v>
      </c>
      <c r="F12" s="7" t="n">
        <v>0.5</v>
      </c>
      <c r="G12" s="26" t="s">
        <v>45</v>
      </c>
      <c r="H12" s="6"/>
      <c r="I12" s="6"/>
    </row>
    <row r="13" customFormat="false" ht="15" hidden="false" customHeight="false" outlineLevel="0" collapsed="false">
      <c r="A13" s="16" t="s">
        <v>429</v>
      </c>
      <c r="B13" s="27" t="s">
        <v>426</v>
      </c>
      <c r="C13" s="10" t="s">
        <v>69</v>
      </c>
      <c r="D13" s="25" t="s">
        <v>44</v>
      </c>
      <c r="E13" s="11" t="n">
        <v>1</v>
      </c>
      <c r="F13" s="11" t="n">
        <v>0.5</v>
      </c>
      <c r="G13" s="28" t="s">
        <v>45</v>
      </c>
      <c r="H13" s="10"/>
      <c r="I13" s="10"/>
    </row>
    <row r="14" customFormat="false" ht="15" hidden="false" customHeight="false" outlineLevel="0" collapsed="false">
      <c r="A14" s="23" t="s">
        <v>430</v>
      </c>
      <c r="B14" s="24" t="s">
        <v>431</v>
      </c>
      <c r="C14" s="6" t="s">
        <v>72</v>
      </c>
      <c r="D14" s="25" t="s">
        <v>44</v>
      </c>
      <c r="E14" s="7" t="n">
        <v>1</v>
      </c>
      <c r="F14" s="7" t="n">
        <v>1</v>
      </c>
      <c r="G14" s="26" t="s">
        <v>45</v>
      </c>
      <c r="H14" s="6"/>
      <c r="I14" s="6"/>
    </row>
    <row r="15" customFormat="false" ht="15" hidden="false" customHeight="false" outlineLevel="0" collapsed="false">
      <c r="A15" s="16" t="s">
        <v>432</v>
      </c>
      <c r="B15" s="27" t="s">
        <v>431</v>
      </c>
      <c r="C15" s="10" t="s">
        <v>74</v>
      </c>
      <c r="D15" s="25" t="s">
        <v>44</v>
      </c>
      <c r="E15" s="11" t="n">
        <v>1</v>
      </c>
      <c r="F15" s="11" t="n">
        <v>1</v>
      </c>
      <c r="G15" s="28" t="s">
        <v>45</v>
      </c>
      <c r="H15" s="10"/>
      <c r="I15" s="10"/>
    </row>
    <row r="16" customFormat="false" ht="15" hidden="false" customHeight="false" outlineLevel="0" collapsed="false">
      <c r="A16" s="23" t="s">
        <v>433</v>
      </c>
      <c r="B16" s="24" t="s">
        <v>431</v>
      </c>
      <c r="C16" s="6" t="s">
        <v>76</v>
      </c>
      <c r="D16" s="25" t="s">
        <v>44</v>
      </c>
      <c r="E16" s="7" t="n">
        <v>1</v>
      </c>
      <c r="F16" s="7" t="n">
        <v>1</v>
      </c>
      <c r="G16" s="26" t="s">
        <v>45</v>
      </c>
      <c r="H16" s="6"/>
      <c r="I16" s="6"/>
    </row>
    <row r="17" customFormat="false" ht="15" hidden="false" customHeight="false" outlineLevel="0" collapsed="false">
      <c r="A17" s="16" t="s">
        <v>434</v>
      </c>
      <c r="B17" s="27" t="s">
        <v>431</v>
      </c>
      <c r="C17" s="10" t="s">
        <v>78</v>
      </c>
      <c r="D17" s="25" t="s">
        <v>44</v>
      </c>
      <c r="E17" s="11" t="n">
        <v>1</v>
      </c>
      <c r="F17" s="11" t="n">
        <v>1</v>
      </c>
      <c r="G17" s="28" t="s">
        <v>45</v>
      </c>
      <c r="H17" s="10"/>
      <c r="I17" s="10"/>
    </row>
    <row r="18" customFormat="false" ht="15" hidden="false" customHeight="false" outlineLevel="0" collapsed="false">
      <c r="A18" s="23" t="s">
        <v>435</v>
      </c>
      <c r="B18" s="24" t="s">
        <v>436</v>
      </c>
      <c r="C18" s="6" t="s">
        <v>437</v>
      </c>
      <c r="D18" s="25" t="s">
        <v>44</v>
      </c>
      <c r="E18" s="7" t="n">
        <v>2</v>
      </c>
      <c r="F18" s="7" t="n">
        <v>0.5</v>
      </c>
      <c r="G18" s="26" t="s">
        <v>82</v>
      </c>
      <c r="H18" s="6"/>
      <c r="I18" s="6"/>
    </row>
    <row r="19" customFormat="false" ht="15" hidden="false" customHeight="false" outlineLevel="0" collapsed="false">
      <c r="A19" s="16" t="s">
        <v>438</v>
      </c>
      <c r="B19" s="27" t="s">
        <v>436</v>
      </c>
      <c r="C19" s="10" t="s">
        <v>439</v>
      </c>
      <c r="D19" s="25" t="s">
        <v>44</v>
      </c>
      <c r="E19" s="11" t="n">
        <v>2</v>
      </c>
      <c r="F19" s="11" t="n">
        <v>1</v>
      </c>
      <c r="G19" s="28" t="s">
        <v>82</v>
      </c>
      <c r="H19" s="10"/>
      <c r="I19" s="10"/>
    </row>
    <row r="20" customFormat="false" ht="15" hidden="false" customHeight="false" outlineLevel="0" collapsed="false">
      <c r="A20" s="23" t="s">
        <v>440</v>
      </c>
      <c r="B20" s="24" t="s">
        <v>436</v>
      </c>
      <c r="C20" s="6" t="s">
        <v>441</v>
      </c>
      <c r="D20" s="25" t="s">
        <v>44</v>
      </c>
      <c r="E20" s="7" t="n">
        <v>2</v>
      </c>
      <c r="F20" s="7" t="n">
        <v>1</v>
      </c>
      <c r="G20" s="26" t="s">
        <v>82</v>
      </c>
      <c r="H20" s="6"/>
      <c r="I20" s="6"/>
    </row>
    <row r="21" customFormat="false" ht="23.85" hidden="false" customHeight="false" outlineLevel="0" collapsed="false">
      <c r="A21" s="16" t="s">
        <v>442</v>
      </c>
      <c r="B21" s="27" t="s">
        <v>436</v>
      </c>
      <c r="C21" s="10" t="s">
        <v>443</v>
      </c>
      <c r="D21" s="25" t="s">
        <v>44</v>
      </c>
      <c r="E21" s="11" t="n">
        <v>2</v>
      </c>
      <c r="F21" s="11" t="n">
        <v>1.5</v>
      </c>
      <c r="G21" s="28" t="s">
        <v>82</v>
      </c>
      <c r="H21" s="10"/>
      <c r="I21" s="10"/>
    </row>
    <row r="22" customFormat="false" ht="15" hidden="false" customHeight="false" outlineLevel="0" collapsed="false">
      <c r="A22" s="23" t="s">
        <v>444</v>
      </c>
      <c r="B22" s="24" t="s">
        <v>436</v>
      </c>
      <c r="C22" s="6" t="s">
        <v>445</v>
      </c>
      <c r="D22" s="25" t="s">
        <v>44</v>
      </c>
      <c r="E22" s="7" t="n">
        <v>2</v>
      </c>
      <c r="F22" s="7" t="n">
        <v>0.5</v>
      </c>
      <c r="G22" s="26" t="s">
        <v>82</v>
      </c>
      <c r="H22" s="6"/>
      <c r="I22" s="6"/>
    </row>
    <row r="23" customFormat="false" ht="23.85" hidden="false" customHeight="false" outlineLevel="0" collapsed="false">
      <c r="A23" s="16" t="s">
        <v>446</v>
      </c>
      <c r="B23" s="27" t="s">
        <v>447</v>
      </c>
      <c r="C23" s="10" t="s">
        <v>448</v>
      </c>
      <c r="D23" s="25" t="s">
        <v>44</v>
      </c>
      <c r="E23" s="11" t="n">
        <v>2</v>
      </c>
      <c r="F23" s="11" t="n">
        <v>1</v>
      </c>
      <c r="G23" s="28" t="s">
        <v>82</v>
      </c>
      <c r="H23" s="10"/>
      <c r="I23" s="10"/>
    </row>
    <row r="24" customFormat="false" ht="15" hidden="false" customHeight="false" outlineLevel="0" collapsed="false">
      <c r="A24" s="23" t="s">
        <v>449</v>
      </c>
      <c r="B24" s="24" t="s">
        <v>447</v>
      </c>
      <c r="C24" s="6" t="s">
        <v>450</v>
      </c>
      <c r="D24" s="25" t="s">
        <v>44</v>
      </c>
      <c r="E24" s="7" t="n">
        <v>2</v>
      </c>
      <c r="F24" s="7" t="n">
        <v>1</v>
      </c>
      <c r="G24" s="26" t="s">
        <v>82</v>
      </c>
      <c r="H24" s="6"/>
      <c r="I24" s="6"/>
    </row>
    <row r="25" customFormat="false" ht="15" hidden="false" customHeight="false" outlineLevel="0" collapsed="false">
      <c r="A25" s="16" t="s">
        <v>451</v>
      </c>
      <c r="B25" s="27" t="s">
        <v>447</v>
      </c>
      <c r="C25" s="10" t="s">
        <v>452</v>
      </c>
      <c r="D25" s="25" t="s">
        <v>44</v>
      </c>
      <c r="E25" s="11" t="n">
        <v>2</v>
      </c>
      <c r="F25" s="11" t="n">
        <v>1</v>
      </c>
      <c r="G25" s="28" t="s">
        <v>82</v>
      </c>
      <c r="H25" s="10"/>
      <c r="I25" s="10"/>
    </row>
    <row r="26" customFormat="false" ht="15" hidden="false" customHeight="false" outlineLevel="0" collapsed="false">
      <c r="A26" s="23" t="s">
        <v>453</v>
      </c>
      <c r="B26" s="24" t="s">
        <v>447</v>
      </c>
      <c r="C26" s="6" t="s">
        <v>454</v>
      </c>
      <c r="D26" s="25" t="s">
        <v>44</v>
      </c>
      <c r="E26" s="7" t="n">
        <v>2</v>
      </c>
      <c r="F26" s="7" t="n">
        <v>1</v>
      </c>
      <c r="G26" s="26" t="s">
        <v>82</v>
      </c>
      <c r="H26" s="6"/>
      <c r="I26" s="6"/>
    </row>
    <row r="27" customFormat="false" ht="15" hidden="false" customHeight="false" outlineLevel="0" collapsed="false">
      <c r="A27" s="16" t="s">
        <v>455</v>
      </c>
      <c r="B27" s="27" t="s">
        <v>456</v>
      </c>
      <c r="C27" s="10" t="s">
        <v>457</v>
      </c>
      <c r="D27" s="25" t="s">
        <v>44</v>
      </c>
      <c r="E27" s="11" t="n">
        <v>2</v>
      </c>
      <c r="F27" s="11" t="n">
        <v>1</v>
      </c>
      <c r="G27" s="28" t="s">
        <v>82</v>
      </c>
      <c r="H27" s="10"/>
      <c r="I27" s="10"/>
    </row>
    <row r="28" customFormat="false" ht="23.85" hidden="false" customHeight="false" outlineLevel="0" collapsed="false">
      <c r="A28" s="23" t="s">
        <v>458</v>
      </c>
      <c r="B28" s="24" t="s">
        <v>456</v>
      </c>
      <c r="C28" s="6" t="s">
        <v>459</v>
      </c>
      <c r="D28" s="25" t="s">
        <v>44</v>
      </c>
      <c r="E28" s="7" t="n">
        <v>2</v>
      </c>
      <c r="F28" s="7" t="n">
        <v>0.5</v>
      </c>
      <c r="G28" s="26" t="s">
        <v>82</v>
      </c>
      <c r="H28" s="6"/>
      <c r="I28" s="6"/>
    </row>
    <row r="29" customFormat="false" ht="15" hidden="false" customHeight="false" outlineLevel="0" collapsed="false">
      <c r="A29" s="16" t="s">
        <v>460</v>
      </c>
      <c r="B29" s="27" t="s">
        <v>456</v>
      </c>
      <c r="C29" s="10" t="s">
        <v>461</v>
      </c>
      <c r="D29" s="25" t="s">
        <v>44</v>
      </c>
      <c r="E29" s="11" t="n">
        <v>2</v>
      </c>
      <c r="F29" s="11" t="n">
        <v>1</v>
      </c>
      <c r="G29" s="28" t="s">
        <v>82</v>
      </c>
      <c r="H29" s="10"/>
      <c r="I29" s="10"/>
    </row>
    <row r="30" customFormat="false" ht="15" hidden="false" customHeight="false" outlineLevel="0" collapsed="false">
      <c r="A30" s="23" t="s">
        <v>462</v>
      </c>
      <c r="B30" s="24" t="s">
        <v>456</v>
      </c>
      <c r="C30" s="6" t="s">
        <v>463</v>
      </c>
      <c r="D30" s="25" t="s">
        <v>44</v>
      </c>
      <c r="E30" s="7" t="n">
        <v>2</v>
      </c>
      <c r="F30" s="7" t="n">
        <v>1</v>
      </c>
      <c r="G30" s="26" t="s">
        <v>82</v>
      </c>
      <c r="H30" s="6"/>
      <c r="I30" s="6"/>
    </row>
    <row r="31" customFormat="false" ht="23.85" hidden="false" customHeight="false" outlineLevel="0" collapsed="false">
      <c r="A31" s="16" t="s">
        <v>464</v>
      </c>
      <c r="B31" s="27" t="s">
        <v>465</v>
      </c>
      <c r="C31" s="10" t="s">
        <v>466</v>
      </c>
      <c r="D31" s="25" t="s">
        <v>44</v>
      </c>
      <c r="E31" s="11" t="n">
        <v>2</v>
      </c>
      <c r="F31" s="11" t="n">
        <v>1</v>
      </c>
      <c r="G31" s="28" t="s">
        <v>82</v>
      </c>
      <c r="H31" s="10"/>
      <c r="I31" s="10"/>
    </row>
    <row r="32" customFormat="false" ht="15" hidden="false" customHeight="false" outlineLevel="0" collapsed="false">
      <c r="A32" s="23" t="s">
        <v>467</v>
      </c>
      <c r="B32" s="24" t="s">
        <v>465</v>
      </c>
      <c r="C32" s="6" t="s">
        <v>468</v>
      </c>
      <c r="D32" s="25" t="s">
        <v>44</v>
      </c>
      <c r="E32" s="7" t="n">
        <v>2</v>
      </c>
      <c r="F32" s="7" t="n">
        <v>0.5</v>
      </c>
      <c r="G32" s="26" t="s">
        <v>82</v>
      </c>
      <c r="H32" s="6"/>
      <c r="I32" s="6"/>
    </row>
    <row r="33" customFormat="false" ht="23.85" hidden="false" customHeight="false" outlineLevel="0" collapsed="false">
      <c r="A33" s="16" t="s">
        <v>469</v>
      </c>
      <c r="B33" s="27" t="s">
        <v>465</v>
      </c>
      <c r="C33" s="10" t="s">
        <v>470</v>
      </c>
      <c r="D33" s="25" t="s">
        <v>44</v>
      </c>
      <c r="E33" s="11" t="n">
        <v>2</v>
      </c>
      <c r="F33" s="11" t="n">
        <v>0.5</v>
      </c>
      <c r="G33" s="28" t="s">
        <v>82</v>
      </c>
      <c r="H33" s="10"/>
      <c r="I33" s="10"/>
    </row>
    <row r="34" customFormat="false" ht="15" hidden="false" customHeight="false" outlineLevel="0" collapsed="false">
      <c r="A34" s="23" t="s">
        <v>471</v>
      </c>
      <c r="B34" s="24" t="s">
        <v>472</v>
      </c>
      <c r="C34" s="6" t="s">
        <v>473</v>
      </c>
      <c r="D34" s="25" t="s">
        <v>44</v>
      </c>
      <c r="E34" s="7" t="n">
        <v>2</v>
      </c>
      <c r="F34" s="7" t="n">
        <v>1</v>
      </c>
      <c r="G34" s="26" t="s">
        <v>82</v>
      </c>
      <c r="H34" s="6"/>
      <c r="I34" s="6"/>
    </row>
    <row r="35" customFormat="false" ht="23.85" hidden="false" customHeight="false" outlineLevel="0" collapsed="false">
      <c r="A35" s="16" t="s">
        <v>474</v>
      </c>
      <c r="B35" s="27" t="s">
        <v>472</v>
      </c>
      <c r="C35" s="10" t="s">
        <v>475</v>
      </c>
      <c r="D35" s="25" t="s">
        <v>44</v>
      </c>
      <c r="E35" s="11" t="n">
        <v>2</v>
      </c>
      <c r="F35" s="11" t="n">
        <v>1</v>
      </c>
      <c r="G35" s="28" t="s">
        <v>82</v>
      </c>
      <c r="H35" s="10"/>
      <c r="I35" s="10"/>
    </row>
    <row r="36" customFormat="false" ht="15" hidden="false" customHeight="false" outlineLevel="0" collapsed="false">
      <c r="A36" s="23" t="s">
        <v>476</v>
      </c>
      <c r="B36" s="24" t="s">
        <v>477</v>
      </c>
      <c r="C36" s="6" t="s">
        <v>478</v>
      </c>
      <c r="D36" s="29" t="s">
        <v>123</v>
      </c>
      <c r="E36" s="7" t="n">
        <v>3</v>
      </c>
      <c r="F36" s="7" t="n">
        <v>1</v>
      </c>
      <c r="G36" s="26" t="s">
        <v>82</v>
      </c>
      <c r="H36" s="6"/>
      <c r="I36" s="6"/>
    </row>
    <row r="37" customFormat="false" ht="15" hidden="false" customHeight="false" outlineLevel="0" collapsed="false">
      <c r="A37" s="16" t="s">
        <v>479</v>
      </c>
      <c r="B37" s="27" t="s">
        <v>477</v>
      </c>
      <c r="C37" s="10" t="s">
        <v>480</v>
      </c>
      <c r="D37" s="29" t="s">
        <v>123</v>
      </c>
      <c r="E37" s="11" t="n">
        <v>3</v>
      </c>
      <c r="F37" s="11" t="n">
        <v>0.5</v>
      </c>
      <c r="G37" s="28" t="s">
        <v>82</v>
      </c>
      <c r="H37" s="10"/>
      <c r="I37" s="10"/>
    </row>
    <row r="38" customFormat="false" ht="15" hidden="false" customHeight="false" outlineLevel="0" collapsed="false">
      <c r="A38" s="23" t="s">
        <v>481</v>
      </c>
      <c r="B38" s="24" t="s">
        <v>482</v>
      </c>
      <c r="C38" s="6" t="s">
        <v>314</v>
      </c>
      <c r="D38" s="29" t="s">
        <v>123</v>
      </c>
      <c r="E38" s="7" t="n">
        <v>3</v>
      </c>
      <c r="F38" s="7" t="n">
        <v>0.5</v>
      </c>
      <c r="G38" s="26" t="s">
        <v>82</v>
      </c>
      <c r="H38" s="6"/>
      <c r="I38" s="6"/>
    </row>
    <row r="39" customFormat="false" ht="15" hidden="false" customHeight="false" outlineLevel="0" collapsed="false">
      <c r="A39" s="16" t="s">
        <v>483</v>
      </c>
      <c r="B39" s="27" t="s">
        <v>482</v>
      </c>
      <c r="C39" s="10" t="s">
        <v>484</v>
      </c>
      <c r="D39" s="29" t="s">
        <v>123</v>
      </c>
      <c r="E39" s="11" t="n">
        <v>3</v>
      </c>
      <c r="F39" s="11" t="n">
        <v>1</v>
      </c>
      <c r="G39" s="28" t="s">
        <v>82</v>
      </c>
      <c r="H39" s="10"/>
      <c r="I39" s="10"/>
    </row>
    <row r="40" customFormat="false" ht="15" hidden="false" customHeight="false" outlineLevel="0" collapsed="false">
      <c r="A40" s="23" t="s">
        <v>485</v>
      </c>
      <c r="B40" s="24" t="s">
        <v>482</v>
      </c>
      <c r="C40" s="6" t="s">
        <v>486</v>
      </c>
      <c r="D40" s="29" t="s">
        <v>123</v>
      </c>
      <c r="E40" s="7" t="n">
        <v>3</v>
      </c>
      <c r="F40" s="7" t="n">
        <v>0.5</v>
      </c>
      <c r="G40" s="26" t="s">
        <v>82</v>
      </c>
      <c r="H40" s="6"/>
      <c r="I40" s="6"/>
    </row>
    <row r="41" customFormat="false" ht="23.85" hidden="false" customHeight="false" outlineLevel="0" collapsed="false">
      <c r="A41" s="16" t="s">
        <v>487</v>
      </c>
      <c r="B41" s="27" t="s">
        <v>141</v>
      </c>
      <c r="C41" s="10" t="s">
        <v>234</v>
      </c>
      <c r="D41" s="25" t="s">
        <v>44</v>
      </c>
      <c r="E41" s="11" t="n">
        <v>3</v>
      </c>
      <c r="F41" s="11" t="n">
        <v>1</v>
      </c>
      <c r="G41" s="28" t="s">
        <v>82</v>
      </c>
      <c r="H41" s="10"/>
      <c r="I41" s="10"/>
    </row>
    <row r="42" customFormat="false" ht="15" hidden="false" customHeight="false" outlineLevel="0" collapsed="false">
      <c r="A42" s="23" t="s">
        <v>488</v>
      </c>
      <c r="B42" s="24" t="s">
        <v>141</v>
      </c>
      <c r="C42" s="6" t="s">
        <v>236</v>
      </c>
      <c r="D42" s="25" t="s">
        <v>44</v>
      </c>
      <c r="E42" s="7" t="n">
        <v>3</v>
      </c>
      <c r="F42" s="7" t="n">
        <v>2</v>
      </c>
      <c r="G42" s="26" t="s">
        <v>82</v>
      </c>
      <c r="H42" s="6"/>
      <c r="I42" s="6"/>
    </row>
    <row r="43" customFormat="false" ht="23.85" hidden="false" customHeight="false" outlineLevel="0" collapsed="false">
      <c r="A43" s="16" t="s">
        <v>489</v>
      </c>
      <c r="B43" s="27" t="s">
        <v>141</v>
      </c>
      <c r="C43" s="10" t="s">
        <v>490</v>
      </c>
      <c r="D43" s="25" t="s">
        <v>44</v>
      </c>
      <c r="E43" s="11" t="n">
        <v>3</v>
      </c>
      <c r="F43" s="11" t="n">
        <v>1</v>
      </c>
      <c r="G43" s="28" t="s">
        <v>82</v>
      </c>
      <c r="H43" s="10"/>
      <c r="I43" s="10"/>
    </row>
    <row r="45" customFormat="false" ht="15" hidden="false" customHeight="false" outlineLevel="0" collapsed="false">
      <c r="C45" s="30" t="s">
        <v>147</v>
      </c>
      <c r="F45" s="31" t="n">
        <f aca="false">SUM(F2:F43)</f>
        <v>36.5</v>
      </c>
    </row>
    <row r="46" customFormat="false" ht="15" hidden="false" customHeight="false" outlineLevel="0" collapsed="false">
      <c r="C46" s="30" t="s">
        <v>148</v>
      </c>
      <c r="F46" s="31" t="n">
        <f aca="false">SUMIF(G2:G43,"Feito",F2:F43)</f>
        <v>0</v>
      </c>
    </row>
  </sheetData>
  <autoFilter ref="A1:I43"/>
  <dataValidations count="1">
    <dataValidation allowBlank="true" errorStyle="stop" operator="between" showDropDown="false" showErrorMessage="false" showInputMessage="false" sqref="G2:G43" type="list">
      <formula1>"Backlog,A Fazer,Fazendo,Em Review,Feito"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28"/>
  </cols>
  <sheetData>
    <row r="1" customFormat="false" ht="23.85" hidden="false" customHeight="false" outlineLevel="0" collapsed="false">
      <c r="A1" s="4" t="s">
        <v>32</v>
      </c>
      <c r="B1" s="4" t="s">
        <v>33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</row>
    <row r="2" customFormat="false" ht="15" hidden="false" customHeight="false" outlineLevel="0" collapsed="false">
      <c r="A2" s="23" t="s">
        <v>491</v>
      </c>
      <c r="B2" s="24" t="s">
        <v>492</v>
      </c>
      <c r="C2" s="6" t="s">
        <v>43</v>
      </c>
      <c r="D2" s="25" t="s">
        <v>44</v>
      </c>
      <c r="E2" s="7" t="n">
        <v>1</v>
      </c>
      <c r="F2" s="7" t="n">
        <v>0.5</v>
      </c>
      <c r="G2" s="26" t="s">
        <v>45</v>
      </c>
      <c r="H2" s="6"/>
      <c r="I2" s="6"/>
    </row>
    <row r="3" customFormat="false" ht="15" hidden="false" customHeight="false" outlineLevel="0" collapsed="false">
      <c r="A3" s="16" t="s">
        <v>493</v>
      </c>
      <c r="B3" s="27" t="s">
        <v>492</v>
      </c>
      <c r="C3" s="10" t="s">
        <v>47</v>
      </c>
      <c r="D3" s="25" t="s">
        <v>44</v>
      </c>
      <c r="E3" s="11" t="n">
        <v>1</v>
      </c>
      <c r="F3" s="11" t="n">
        <v>0.5</v>
      </c>
      <c r="G3" s="28" t="s">
        <v>45</v>
      </c>
      <c r="H3" s="10"/>
      <c r="I3" s="10"/>
    </row>
    <row r="4" customFormat="false" ht="15" hidden="false" customHeight="false" outlineLevel="0" collapsed="false">
      <c r="A4" s="23" t="s">
        <v>494</v>
      </c>
      <c r="B4" s="24" t="s">
        <v>492</v>
      </c>
      <c r="C4" s="6" t="s">
        <v>49</v>
      </c>
      <c r="D4" s="25" t="s">
        <v>44</v>
      </c>
      <c r="E4" s="7" t="n">
        <v>1</v>
      </c>
      <c r="F4" s="7" t="n">
        <v>1</v>
      </c>
      <c r="G4" s="26" t="s">
        <v>45</v>
      </c>
      <c r="H4" s="6"/>
      <c r="I4" s="6"/>
    </row>
    <row r="5" customFormat="false" ht="23.85" hidden="false" customHeight="false" outlineLevel="0" collapsed="false">
      <c r="A5" s="16" t="s">
        <v>495</v>
      </c>
      <c r="B5" s="27" t="s">
        <v>492</v>
      </c>
      <c r="C5" s="10" t="s">
        <v>51</v>
      </c>
      <c r="D5" s="25" t="s">
        <v>44</v>
      </c>
      <c r="E5" s="11" t="n">
        <v>1</v>
      </c>
      <c r="F5" s="11" t="n">
        <v>1</v>
      </c>
      <c r="G5" s="28" t="s">
        <v>45</v>
      </c>
      <c r="H5" s="10"/>
      <c r="I5" s="10"/>
    </row>
    <row r="6" customFormat="false" ht="15" hidden="false" customHeight="false" outlineLevel="0" collapsed="false">
      <c r="A6" s="23" t="s">
        <v>496</v>
      </c>
      <c r="B6" s="24" t="s">
        <v>497</v>
      </c>
      <c r="C6" s="6" t="s">
        <v>54</v>
      </c>
      <c r="D6" s="25" t="s">
        <v>44</v>
      </c>
      <c r="E6" s="7" t="n">
        <v>1</v>
      </c>
      <c r="F6" s="7" t="n">
        <v>0.5</v>
      </c>
      <c r="G6" s="26" t="s">
        <v>45</v>
      </c>
      <c r="H6" s="6"/>
      <c r="I6" s="6"/>
    </row>
    <row r="7" customFormat="false" ht="15" hidden="false" customHeight="false" outlineLevel="0" collapsed="false">
      <c r="A7" s="16" t="s">
        <v>498</v>
      </c>
      <c r="B7" s="27" t="s">
        <v>497</v>
      </c>
      <c r="C7" s="10" t="s">
        <v>56</v>
      </c>
      <c r="D7" s="25" t="s">
        <v>44</v>
      </c>
      <c r="E7" s="11" t="n">
        <v>1</v>
      </c>
      <c r="F7" s="11" t="n">
        <v>0.5</v>
      </c>
      <c r="G7" s="28" t="s">
        <v>45</v>
      </c>
      <c r="H7" s="10"/>
      <c r="I7" s="10"/>
    </row>
    <row r="8" customFormat="false" ht="15" hidden="false" customHeight="false" outlineLevel="0" collapsed="false">
      <c r="A8" s="23" t="s">
        <v>499</v>
      </c>
      <c r="B8" s="24" t="s">
        <v>497</v>
      </c>
      <c r="C8" s="6" t="s">
        <v>58</v>
      </c>
      <c r="D8" s="25" t="s">
        <v>44</v>
      </c>
      <c r="E8" s="7" t="n">
        <v>1</v>
      </c>
      <c r="F8" s="7" t="n">
        <v>1</v>
      </c>
      <c r="G8" s="26" t="s">
        <v>45</v>
      </c>
      <c r="H8" s="6"/>
      <c r="I8" s="6"/>
    </row>
    <row r="9" customFormat="false" ht="15" hidden="false" customHeight="false" outlineLevel="0" collapsed="false">
      <c r="A9" s="16" t="s">
        <v>500</v>
      </c>
      <c r="B9" s="27" t="s">
        <v>497</v>
      </c>
      <c r="C9" s="10" t="s">
        <v>60</v>
      </c>
      <c r="D9" s="25" t="s">
        <v>44</v>
      </c>
      <c r="E9" s="11" t="n">
        <v>1</v>
      </c>
      <c r="F9" s="11" t="n">
        <v>1.5</v>
      </c>
      <c r="G9" s="28" t="s">
        <v>45</v>
      </c>
      <c r="H9" s="10"/>
      <c r="I9" s="10"/>
    </row>
    <row r="10" customFormat="false" ht="15" hidden="false" customHeight="false" outlineLevel="0" collapsed="false">
      <c r="A10" s="23" t="s">
        <v>501</v>
      </c>
      <c r="B10" s="24" t="s">
        <v>502</v>
      </c>
      <c r="C10" s="6" t="s">
        <v>63</v>
      </c>
      <c r="D10" s="25" t="s">
        <v>44</v>
      </c>
      <c r="E10" s="7" t="n">
        <v>1</v>
      </c>
      <c r="F10" s="7" t="n">
        <v>0.5</v>
      </c>
      <c r="G10" s="26" t="s">
        <v>45</v>
      </c>
      <c r="H10" s="6"/>
      <c r="I10" s="6"/>
    </row>
    <row r="11" customFormat="false" ht="15" hidden="false" customHeight="false" outlineLevel="0" collapsed="false">
      <c r="A11" s="16" t="s">
        <v>503</v>
      </c>
      <c r="B11" s="27" t="s">
        <v>502</v>
      </c>
      <c r="C11" s="10" t="s">
        <v>65</v>
      </c>
      <c r="D11" s="25" t="s">
        <v>44</v>
      </c>
      <c r="E11" s="11" t="n">
        <v>1</v>
      </c>
      <c r="F11" s="11" t="n">
        <v>1</v>
      </c>
      <c r="G11" s="28" t="s">
        <v>45</v>
      </c>
      <c r="H11" s="10"/>
      <c r="I11" s="10"/>
    </row>
    <row r="12" customFormat="false" ht="15" hidden="false" customHeight="false" outlineLevel="0" collapsed="false">
      <c r="A12" s="23" t="s">
        <v>504</v>
      </c>
      <c r="B12" s="24" t="s">
        <v>502</v>
      </c>
      <c r="C12" s="6" t="s">
        <v>67</v>
      </c>
      <c r="D12" s="25" t="s">
        <v>44</v>
      </c>
      <c r="E12" s="7" t="n">
        <v>1</v>
      </c>
      <c r="F12" s="7" t="n">
        <v>0.5</v>
      </c>
      <c r="G12" s="26" t="s">
        <v>45</v>
      </c>
      <c r="H12" s="6"/>
      <c r="I12" s="6"/>
    </row>
    <row r="13" customFormat="false" ht="15" hidden="false" customHeight="false" outlineLevel="0" collapsed="false">
      <c r="A13" s="16" t="s">
        <v>505</v>
      </c>
      <c r="B13" s="27" t="s">
        <v>502</v>
      </c>
      <c r="C13" s="10" t="s">
        <v>69</v>
      </c>
      <c r="D13" s="25" t="s">
        <v>44</v>
      </c>
      <c r="E13" s="11" t="n">
        <v>1</v>
      </c>
      <c r="F13" s="11" t="n">
        <v>0.5</v>
      </c>
      <c r="G13" s="28" t="s">
        <v>45</v>
      </c>
      <c r="H13" s="10"/>
      <c r="I13" s="10"/>
    </row>
    <row r="14" customFormat="false" ht="15" hidden="false" customHeight="false" outlineLevel="0" collapsed="false">
      <c r="A14" s="23" t="s">
        <v>506</v>
      </c>
      <c r="B14" s="24" t="s">
        <v>507</v>
      </c>
      <c r="C14" s="6" t="s">
        <v>72</v>
      </c>
      <c r="D14" s="25" t="s">
        <v>44</v>
      </c>
      <c r="E14" s="7" t="n">
        <v>1</v>
      </c>
      <c r="F14" s="7" t="n">
        <v>1</v>
      </c>
      <c r="G14" s="26" t="s">
        <v>45</v>
      </c>
      <c r="H14" s="6"/>
      <c r="I14" s="6"/>
    </row>
    <row r="15" customFormat="false" ht="15" hidden="false" customHeight="false" outlineLevel="0" collapsed="false">
      <c r="A15" s="16" t="s">
        <v>508</v>
      </c>
      <c r="B15" s="27" t="s">
        <v>507</v>
      </c>
      <c r="C15" s="10" t="s">
        <v>74</v>
      </c>
      <c r="D15" s="25" t="s">
        <v>44</v>
      </c>
      <c r="E15" s="11" t="n">
        <v>1</v>
      </c>
      <c r="F15" s="11" t="n">
        <v>1</v>
      </c>
      <c r="G15" s="28" t="s">
        <v>45</v>
      </c>
      <c r="H15" s="10"/>
      <c r="I15" s="10"/>
    </row>
    <row r="16" customFormat="false" ht="15" hidden="false" customHeight="false" outlineLevel="0" collapsed="false">
      <c r="A16" s="23" t="s">
        <v>509</v>
      </c>
      <c r="B16" s="24" t="s">
        <v>507</v>
      </c>
      <c r="C16" s="6" t="s">
        <v>76</v>
      </c>
      <c r="D16" s="25" t="s">
        <v>44</v>
      </c>
      <c r="E16" s="7" t="n">
        <v>1</v>
      </c>
      <c r="F16" s="7" t="n">
        <v>1</v>
      </c>
      <c r="G16" s="26" t="s">
        <v>45</v>
      </c>
      <c r="H16" s="6"/>
      <c r="I16" s="6"/>
    </row>
    <row r="17" customFormat="false" ht="15" hidden="false" customHeight="false" outlineLevel="0" collapsed="false">
      <c r="A17" s="16" t="s">
        <v>510</v>
      </c>
      <c r="B17" s="27" t="s">
        <v>507</v>
      </c>
      <c r="C17" s="10" t="s">
        <v>78</v>
      </c>
      <c r="D17" s="25" t="s">
        <v>44</v>
      </c>
      <c r="E17" s="11" t="n">
        <v>1</v>
      </c>
      <c r="F17" s="11" t="n">
        <v>1</v>
      </c>
      <c r="G17" s="28" t="s">
        <v>45</v>
      </c>
      <c r="H17" s="10"/>
      <c r="I17" s="10"/>
    </row>
    <row r="18" customFormat="false" ht="15" hidden="false" customHeight="false" outlineLevel="0" collapsed="false">
      <c r="A18" s="23" t="s">
        <v>511</v>
      </c>
      <c r="B18" s="24" t="s">
        <v>512</v>
      </c>
      <c r="C18" s="6" t="s">
        <v>513</v>
      </c>
      <c r="D18" s="25" t="s">
        <v>44</v>
      </c>
      <c r="E18" s="7" t="n">
        <v>2</v>
      </c>
      <c r="F18" s="7" t="n">
        <v>0.5</v>
      </c>
      <c r="G18" s="26" t="s">
        <v>82</v>
      </c>
      <c r="H18" s="6"/>
      <c r="I18" s="6"/>
    </row>
    <row r="19" customFormat="false" ht="23.85" hidden="false" customHeight="false" outlineLevel="0" collapsed="false">
      <c r="A19" s="16" t="s">
        <v>514</v>
      </c>
      <c r="B19" s="27" t="s">
        <v>512</v>
      </c>
      <c r="C19" s="10" t="s">
        <v>515</v>
      </c>
      <c r="D19" s="25" t="s">
        <v>44</v>
      </c>
      <c r="E19" s="11" t="n">
        <v>2</v>
      </c>
      <c r="F19" s="11" t="n">
        <v>1</v>
      </c>
      <c r="G19" s="28" t="s">
        <v>82</v>
      </c>
      <c r="H19" s="10"/>
      <c r="I19" s="10"/>
    </row>
    <row r="20" customFormat="false" ht="15" hidden="false" customHeight="false" outlineLevel="0" collapsed="false">
      <c r="A20" s="23" t="s">
        <v>516</v>
      </c>
      <c r="B20" s="24" t="s">
        <v>512</v>
      </c>
      <c r="C20" s="6" t="s">
        <v>517</v>
      </c>
      <c r="D20" s="25" t="s">
        <v>44</v>
      </c>
      <c r="E20" s="7" t="n">
        <v>2</v>
      </c>
      <c r="F20" s="7" t="n">
        <v>1</v>
      </c>
      <c r="G20" s="26" t="s">
        <v>82</v>
      </c>
      <c r="H20" s="6"/>
      <c r="I20" s="6"/>
    </row>
    <row r="21" customFormat="false" ht="15" hidden="false" customHeight="false" outlineLevel="0" collapsed="false">
      <c r="A21" s="16" t="s">
        <v>518</v>
      </c>
      <c r="B21" s="27" t="s">
        <v>512</v>
      </c>
      <c r="C21" s="10" t="s">
        <v>519</v>
      </c>
      <c r="D21" s="25" t="s">
        <v>44</v>
      </c>
      <c r="E21" s="11" t="n">
        <v>2</v>
      </c>
      <c r="F21" s="11" t="n">
        <v>1.5</v>
      </c>
      <c r="G21" s="28" t="s">
        <v>82</v>
      </c>
      <c r="H21" s="10"/>
      <c r="I21" s="10"/>
    </row>
    <row r="22" customFormat="false" ht="15" hidden="false" customHeight="false" outlineLevel="0" collapsed="false">
      <c r="A22" s="23" t="s">
        <v>520</v>
      </c>
      <c r="B22" s="24" t="s">
        <v>512</v>
      </c>
      <c r="C22" s="6" t="s">
        <v>521</v>
      </c>
      <c r="D22" s="25" t="s">
        <v>44</v>
      </c>
      <c r="E22" s="7" t="n">
        <v>2</v>
      </c>
      <c r="F22" s="7" t="n">
        <v>0.5</v>
      </c>
      <c r="G22" s="26" t="s">
        <v>82</v>
      </c>
      <c r="H22" s="6"/>
      <c r="I22" s="6"/>
    </row>
    <row r="23" customFormat="false" ht="15" hidden="false" customHeight="false" outlineLevel="0" collapsed="false">
      <c r="A23" s="16" t="s">
        <v>522</v>
      </c>
      <c r="B23" s="27" t="s">
        <v>512</v>
      </c>
      <c r="C23" s="10" t="s">
        <v>523</v>
      </c>
      <c r="D23" s="25" t="s">
        <v>44</v>
      </c>
      <c r="E23" s="11" t="n">
        <v>2</v>
      </c>
      <c r="F23" s="11" t="n">
        <v>1</v>
      </c>
      <c r="G23" s="28" t="s">
        <v>82</v>
      </c>
      <c r="H23" s="10"/>
      <c r="I23" s="10"/>
    </row>
    <row r="24" customFormat="false" ht="23.85" hidden="false" customHeight="false" outlineLevel="0" collapsed="false">
      <c r="A24" s="23" t="s">
        <v>524</v>
      </c>
      <c r="B24" s="24" t="s">
        <v>525</v>
      </c>
      <c r="C24" s="6" t="s">
        <v>526</v>
      </c>
      <c r="D24" s="25" t="s">
        <v>44</v>
      </c>
      <c r="E24" s="7" t="n">
        <v>2</v>
      </c>
      <c r="F24" s="7" t="n">
        <v>1</v>
      </c>
      <c r="G24" s="26" t="s">
        <v>82</v>
      </c>
      <c r="H24" s="6"/>
      <c r="I24" s="6"/>
    </row>
    <row r="25" customFormat="false" ht="23.85" hidden="false" customHeight="false" outlineLevel="0" collapsed="false">
      <c r="A25" s="16" t="s">
        <v>527</v>
      </c>
      <c r="B25" s="27" t="s">
        <v>525</v>
      </c>
      <c r="C25" s="10" t="s">
        <v>528</v>
      </c>
      <c r="D25" s="25" t="s">
        <v>44</v>
      </c>
      <c r="E25" s="11" t="n">
        <v>2</v>
      </c>
      <c r="F25" s="11" t="n">
        <v>1.5</v>
      </c>
      <c r="G25" s="28" t="s">
        <v>82</v>
      </c>
      <c r="H25" s="10"/>
      <c r="I25" s="10"/>
    </row>
    <row r="26" customFormat="false" ht="15" hidden="false" customHeight="false" outlineLevel="0" collapsed="false">
      <c r="A26" s="23" t="s">
        <v>529</v>
      </c>
      <c r="B26" s="24" t="s">
        <v>525</v>
      </c>
      <c r="C26" s="6" t="s">
        <v>530</v>
      </c>
      <c r="D26" s="25" t="s">
        <v>44</v>
      </c>
      <c r="E26" s="7" t="n">
        <v>2</v>
      </c>
      <c r="F26" s="7" t="n">
        <v>1</v>
      </c>
      <c r="G26" s="26" t="s">
        <v>82</v>
      </c>
      <c r="H26" s="6"/>
      <c r="I26" s="6"/>
    </row>
    <row r="27" customFormat="false" ht="15" hidden="false" customHeight="false" outlineLevel="0" collapsed="false">
      <c r="A27" s="16" t="s">
        <v>531</v>
      </c>
      <c r="B27" s="27" t="s">
        <v>525</v>
      </c>
      <c r="C27" s="10" t="s">
        <v>532</v>
      </c>
      <c r="D27" s="25" t="s">
        <v>44</v>
      </c>
      <c r="E27" s="11" t="n">
        <v>2</v>
      </c>
      <c r="F27" s="11" t="n">
        <v>1</v>
      </c>
      <c r="G27" s="28" t="s">
        <v>82</v>
      </c>
      <c r="H27" s="10"/>
      <c r="I27" s="10"/>
    </row>
    <row r="28" customFormat="false" ht="15" hidden="false" customHeight="false" outlineLevel="0" collapsed="false">
      <c r="A28" s="23" t="s">
        <v>533</v>
      </c>
      <c r="B28" s="24" t="s">
        <v>525</v>
      </c>
      <c r="C28" s="6" t="s">
        <v>534</v>
      </c>
      <c r="D28" s="25" t="s">
        <v>44</v>
      </c>
      <c r="E28" s="7" t="n">
        <v>2</v>
      </c>
      <c r="F28" s="7" t="n">
        <v>0.5</v>
      </c>
      <c r="G28" s="26" t="s">
        <v>82</v>
      </c>
      <c r="H28" s="6"/>
      <c r="I28" s="6"/>
    </row>
    <row r="29" customFormat="false" ht="23.85" hidden="false" customHeight="false" outlineLevel="0" collapsed="false">
      <c r="A29" s="16" t="s">
        <v>535</v>
      </c>
      <c r="B29" s="27" t="s">
        <v>536</v>
      </c>
      <c r="C29" s="10" t="s">
        <v>537</v>
      </c>
      <c r="D29" s="25" t="s">
        <v>44</v>
      </c>
      <c r="E29" s="11" t="n">
        <v>2</v>
      </c>
      <c r="F29" s="11" t="n">
        <v>1.5</v>
      </c>
      <c r="G29" s="28" t="s">
        <v>82</v>
      </c>
      <c r="H29" s="10"/>
      <c r="I29" s="10"/>
    </row>
    <row r="30" customFormat="false" ht="15" hidden="false" customHeight="false" outlineLevel="0" collapsed="false">
      <c r="A30" s="23" t="s">
        <v>538</v>
      </c>
      <c r="B30" s="24" t="s">
        <v>536</v>
      </c>
      <c r="C30" s="6" t="s">
        <v>539</v>
      </c>
      <c r="D30" s="25" t="s">
        <v>44</v>
      </c>
      <c r="E30" s="7" t="n">
        <v>2</v>
      </c>
      <c r="F30" s="7" t="n">
        <v>0.5</v>
      </c>
      <c r="G30" s="26" t="s">
        <v>82</v>
      </c>
      <c r="H30" s="6"/>
      <c r="I30" s="6"/>
    </row>
    <row r="31" customFormat="false" ht="23.85" hidden="false" customHeight="false" outlineLevel="0" collapsed="false">
      <c r="A31" s="16" t="s">
        <v>540</v>
      </c>
      <c r="B31" s="27" t="s">
        <v>536</v>
      </c>
      <c r="C31" s="10" t="s">
        <v>541</v>
      </c>
      <c r="D31" s="25" t="s">
        <v>44</v>
      </c>
      <c r="E31" s="11" t="n">
        <v>2</v>
      </c>
      <c r="F31" s="11" t="n">
        <v>1</v>
      </c>
      <c r="G31" s="28" t="s">
        <v>82</v>
      </c>
      <c r="H31" s="10"/>
      <c r="I31" s="10"/>
    </row>
    <row r="32" customFormat="false" ht="15" hidden="false" customHeight="false" outlineLevel="0" collapsed="false">
      <c r="A32" s="23" t="s">
        <v>542</v>
      </c>
      <c r="B32" s="24" t="s">
        <v>536</v>
      </c>
      <c r="C32" s="6" t="s">
        <v>543</v>
      </c>
      <c r="D32" s="25" t="s">
        <v>44</v>
      </c>
      <c r="E32" s="7" t="n">
        <v>2</v>
      </c>
      <c r="F32" s="7" t="n">
        <v>1</v>
      </c>
      <c r="G32" s="26" t="s">
        <v>82</v>
      </c>
      <c r="H32" s="6"/>
      <c r="I32" s="6"/>
    </row>
    <row r="33" customFormat="false" ht="15" hidden="false" customHeight="false" outlineLevel="0" collapsed="false">
      <c r="A33" s="16" t="s">
        <v>544</v>
      </c>
      <c r="B33" s="27" t="s">
        <v>536</v>
      </c>
      <c r="C33" s="10" t="s">
        <v>545</v>
      </c>
      <c r="D33" s="25" t="s">
        <v>44</v>
      </c>
      <c r="E33" s="11" t="n">
        <v>2</v>
      </c>
      <c r="F33" s="11" t="n">
        <v>1</v>
      </c>
      <c r="G33" s="28" t="s">
        <v>82</v>
      </c>
      <c r="H33" s="10"/>
      <c r="I33" s="10"/>
    </row>
    <row r="34" customFormat="false" ht="15" hidden="false" customHeight="false" outlineLevel="0" collapsed="false">
      <c r="A34" s="23" t="s">
        <v>546</v>
      </c>
      <c r="B34" s="24" t="s">
        <v>547</v>
      </c>
      <c r="C34" s="6" t="s">
        <v>548</v>
      </c>
      <c r="D34" s="25" t="s">
        <v>44</v>
      </c>
      <c r="E34" s="7" t="n">
        <v>2</v>
      </c>
      <c r="F34" s="7" t="n">
        <v>1</v>
      </c>
      <c r="G34" s="26" t="s">
        <v>82</v>
      </c>
      <c r="H34" s="6"/>
      <c r="I34" s="6"/>
    </row>
    <row r="35" customFormat="false" ht="15" hidden="false" customHeight="false" outlineLevel="0" collapsed="false">
      <c r="A35" s="16" t="s">
        <v>549</v>
      </c>
      <c r="B35" s="27" t="s">
        <v>547</v>
      </c>
      <c r="C35" s="10" t="s">
        <v>550</v>
      </c>
      <c r="D35" s="25" t="s">
        <v>44</v>
      </c>
      <c r="E35" s="11" t="n">
        <v>2</v>
      </c>
      <c r="F35" s="11" t="n">
        <v>1</v>
      </c>
      <c r="G35" s="28" t="s">
        <v>82</v>
      </c>
      <c r="H35" s="10"/>
      <c r="I35" s="10"/>
    </row>
    <row r="36" customFormat="false" ht="23.85" hidden="false" customHeight="false" outlineLevel="0" collapsed="false">
      <c r="A36" s="23" t="s">
        <v>551</v>
      </c>
      <c r="B36" s="24" t="s">
        <v>552</v>
      </c>
      <c r="C36" s="6" t="s">
        <v>553</v>
      </c>
      <c r="D36" s="29" t="s">
        <v>123</v>
      </c>
      <c r="E36" s="7" t="n">
        <v>3</v>
      </c>
      <c r="F36" s="7" t="n">
        <v>1</v>
      </c>
      <c r="G36" s="26" t="s">
        <v>82</v>
      </c>
      <c r="H36" s="6"/>
      <c r="I36" s="6"/>
    </row>
    <row r="37" customFormat="false" ht="15" hidden="false" customHeight="false" outlineLevel="0" collapsed="false">
      <c r="A37" s="16" t="s">
        <v>554</v>
      </c>
      <c r="B37" s="27" t="s">
        <v>552</v>
      </c>
      <c r="C37" s="10" t="s">
        <v>555</v>
      </c>
      <c r="D37" s="29" t="s">
        <v>123</v>
      </c>
      <c r="E37" s="11" t="n">
        <v>3</v>
      </c>
      <c r="F37" s="11" t="n">
        <v>1</v>
      </c>
      <c r="G37" s="28" t="s">
        <v>82</v>
      </c>
      <c r="H37" s="10"/>
      <c r="I37" s="10"/>
    </row>
    <row r="38" customFormat="false" ht="15" hidden="false" customHeight="false" outlineLevel="0" collapsed="false">
      <c r="A38" s="23" t="s">
        <v>556</v>
      </c>
      <c r="B38" s="24" t="s">
        <v>557</v>
      </c>
      <c r="C38" s="6" t="s">
        <v>314</v>
      </c>
      <c r="D38" s="36" t="s">
        <v>558</v>
      </c>
      <c r="E38" s="7" t="n">
        <v>3</v>
      </c>
      <c r="F38" s="7" t="n">
        <v>0.5</v>
      </c>
      <c r="G38" s="26" t="s">
        <v>82</v>
      </c>
      <c r="H38" s="6"/>
      <c r="I38" s="6"/>
    </row>
    <row r="39" customFormat="false" ht="23.85" hidden="false" customHeight="false" outlineLevel="0" collapsed="false">
      <c r="A39" s="16" t="s">
        <v>559</v>
      </c>
      <c r="B39" s="27" t="s">
        <v>557</v>
      </c>
      <c r="C39" s="10" t="s">
        <v>560</v>
      </c>
      <c r="D39" s="36" t="s">
        <v>558</v>
      </c>
      <c r="E39" s="11" t="n">
        <v>3</v>
      </c>
      <c r="F39" s="11" t="n">
        <v>1.5</v>
      </c>
      <c r="G39" s="28" t="s">
        <v>82</v>
      </c>
      <c r="H39" s="10"/>
      <c r="I39" s="10"/>
    </row>
    <row r="40" customFormat="false" ht="15" hidden="false" customHeight="false" outlineLevel="0" collapsed="false">
      <c r="A40" s="23" t="s">
        <v>561</v>
      </c>
      <c r="B40" s="24" t="s">
        <v>557</v>
      </c>
      <c r="C40" s="6" t="s">
        <v>404</v>
      </c>
      <c r="D40" s="36" t="s">
        <v>558</v>
      </c>
      <c r="E40" s="7" t="n">
        <v>3</v>
      </c>
      <c r="F40" s="7" t="n">
        <v>0.5</v>
      </c>
      <c r="G40" s="26" t="s">
        <v>82</v>
      </c>
      <c r="H40" s="6"/>
      <c r="I40" s="6"/>
    </row>
    <row r="41" customFormat="false" ht="23.85" hidden="false" customHeight="false" outlineLevel="0" collapsed="false">
      <c r="A41" s="16" t="s">
        <v>562</v>
      </c>
      <c r="B41" s="27" t="s">
        <v>141</v>
      </c>
      <c r="C41" s="10" t="s">
        <v>234</v>
      </c>
      <c r="D41" s="25" t="s">
        <v>44</v>
      </c>
      <c r="E41" s="11" t="n">
        <v>3</v>
      </c>
      <c r="F41" s="11" t="n">
        <v>1</v>
      </c>
      <c r="G41" s="28" t="s">
        <v>82</v>
      </c>
      <c r="H41" s="10"/>
      <c r="I41" s="10"/>
    </row>
    <row r="42" customFormat="false" ht="15" hidden="false" customHeight="false" outlineLevel="0" collapsed="false">
      <c r="A42" s="23" t="s">
        <v>563</v>
      </c>
      <c r="B42" s="24" t="s">
        <v>141</v>
      </c>
      <c r="C42" s="6" t="s">
        <v>236</v>
      </c>
      <c r="D42" s="25" t="s">
        <v>44</v>
      </c>
      <c r="E42" s="7" t="n">
        <v>3</v>
      </c>
      <c r="F42" s="7" t="n">
        <v>2</v>
      </c>
      <c r="G42" s="26" t="s">
        <v>82</v>
      </c>
      <c r="H42" s="6"/>
      <c r="I42" s="6"/>
    </row>
    <row r="43" customFormat="false" ht="23.85" hidden="false" customHeight="false" outlineLevel="0" collapsed="false">
      <c r="A43" s="16" t="s">
        <v>564</v>
      </c>
      <c r="B43" s="27" t="s">
        <v>141</v>
      </c>
      <c r="C43" s="10" t="s">
        <v>565</v>
      </c>
      <c r="D43" s="25" t="s">
        <v>44</v>
      </c>
      <c r="E43" s="11" t="n">
        <v>3</v>
      </c>
      <c r="F43" s="11" t="n">
        <v>1</v>
      </c>
      <c r="G43" s="28" t="s">
        <v>82</v>
      </c>
      <c r="H43" s="10"/>
      <c r="I43" s="10"/>
    </row>
    <row r="45" customFormat="false" ht="15" hidden="false" customHeight="false" outlineLevel="0" collapsed="false">
      <c r="C45" s="30" t="s">
        <v>147</v>
      </c>
      <c r="F45" s="31" t="n">
        <f aca="false">SUM(F2:F43)</f>
        <v>39</v>
      </c>
    </row>
    <row r="46" customFormat="false" ht="15" hidden="false" customHeight="false" outlineLevel="0" collapsed="false">
      <c r="C46" s="30" t="s">
        <v>148</v>
      </c>
      <c r="F46" s="31" t="n">
        <f aca="false">SUMIF(G2:G43,"Feito",F2:F43)</f>
        <v>0</v>
      </c>
    </row>
  </sheetData>
  <autoFilter ref="A1:I43"/>
  <dataValidations count="1">
    <dataValidation allowBlank="true" errorStyle="stop" operator="between" showDropDown="false" showErrorMessage="false" showInputMessage="false" sqref="G2:G43" type="list">
      <formula1>"Backlog,A Fazer,Fazendo,Em Review,Feito"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2026-08-13T17:38:29Z</dcterms:created>
  <dc:creator>openpyxl</dc:creator>
  <dc:description/>
  <dc:language>en-US</dc:language>
  <cp:lastModifiedBy/>
  <dcterms:modified xsi:type="dcterms:W3CDTF">2026-08-13T17:38:29Z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