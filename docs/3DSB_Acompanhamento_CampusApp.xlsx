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mpusApp\.github\docs\"/>
    </mc:Choice>
  </mc:AlternateContent>
  <xr:revisionPtr revIDLastSave="0" documentId="13_ncr:1_{9ABEEDD4-A7FD-4408-8FCA-3C80AC795F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RadarNeuro" sheetId="2" r:id="rId2"/>
    <sheet name="EAgoraAdulto" sheetId="3" r:id="rId3"/>
    <sheet name="Sincronize" sheetId="4" r:id="rId4"/>
    <sheet name="Anbylize" sheetId="5" r:id="rId5"/>
    <sheet name="Monitorizador" sheetId="6" r:id="rId6"/>
    <sheet name="FlowUp" sheetId="7" r:id="rId7"/>
  </sheets>
  <definedNames>
    <definedName name="_xlnm._FilterDatabase" localSheetId="4" hidden="1">Anbylize!$A$1:$I$47</definedName>
    <definedName name="_xlnm._FilterDatabase" localSheetId="2" hidden="1">EAgoraAdulto!$A$1:$I$48</definedName>
    <definedName name="_xlnm._FilterDatabase" localSheetId="6" hidden="1">FlowUp!$A$1:$I$43</definedName>
    <definedName name="_xlnm._FilterDatabase" localSheetId="5" hidden="1">Monitorizador!$A$1:$I$43</definedName>
    <definedName name="_xlnm._FilterDatabase" localSheetId="1" hidden="1">RadarNeuro!$A$1:$I$46</definedName>
    <definedName name="_xlnm._FilterDatabase" localSheetId="3" hidden="1">Sincronize!$A$1:$I$49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E46" i="7"/>
  <c r="E45" i="7"/>
  <c r="E46" i="6"/>
  <c r="E45" i="6"/>
  <c r="E50" i="5"/>
  <c r="E49" i="5"/>
  <c r="E52" i="4"/>
  <c r="E51" i="4"/>
  <c r="E51" i="3"/>
  <c r="E50" i="3"/>
  <c r="E49" i="2"/>
  <c r="E48" i="2"/>
  <c r="K12" i="1"/>
  <c r="J12" i="1"/>
  <c r="H12" i="1"/>
  <c r="G12" i="1"/>
  <c r="F12" i="1"/>
  <c r="E12" i="1"/>
  <c r="K11" i="1"/>
  <c r="J11" i="1"/>
  <c r="H11" i="1"/>
  <c r="G11" i="1"/>
  <c r="F11" i="1"/>
  <c r="E11" i="1"/>
  <c r="K10" i="1"/>
  <c r="J10" i="1"/>
  <c r="H10" i="1"/>
  <c r="G10" i="1"/>
  <c r="F10" i="1"/>
  <c r="E10" i="1"/>
  <c r="K9" i="1"/>
  <c r="J9" i="1"/>
  <c r="H9" i="1"/>
  <c r="G9" i="1"/>
  <c r="F9" i="1"/>
  <c r="E9" i="1"/>
  <c r="K8" i="1"/>
  <c r="J8" i="1"/>
  <c r="H8" i="1"/>
  <c r="G8" i="1"/>
  <c r="F8" i="1"/>
  <c r="E8" i="1"/>
  <c r="K7" i="1"/>
  <c r="J7" i="1"/>
  <c r="H7" i="1"/>
  <c r="G7" i="1"/>
  <c r="F7" i="1"/>
  <c r="E7" i="1"/>
  <c r="I12" i="1" l="1"/>
  <c r="I8" i="1"/>
  <c r="I9" i="1"/>
  <c r="I10" i="1"/>
  <c r="I11" i="1"/>
  <c r="J13" i="1"/>
  <c r="D13" i="1"/>
  <c r="H13" i="1"/>
  <c r="E13" i="1"/>
  <c r="K13" i="1"/>
  <c r="F13" i="1"/>
  <c r="G13" i="1"/>
  <c r="I7" i="1"/>
  <c r="I13" i="1" l="1"/>
</calcChain>
</file>

<file path=xl/sharedStrings.xml><?xml version="1.0" encoding="utf-8"?>
<sst xmlns="http://schemas.openxmlformats.org/spreadsheetml/2006/main" count="303" uniqueCount="90">
  <si>
    <t>Campus App 2025 — Painel de Acompanhamento (Turma 3DS-B)</t>
  </si>
  <si>
    <t>Desenvolvimento de Dispositivos Móveis · IFTM Campus Uberlândia · Prof. Edson Angoti Júnior</t>
  </si>
  <si>
    <t>Sprint 1 padronizado (login com Google) idêntico para todas as equipes.</t>
  </si>
  <si>
    <t>Equipe / Projeto</t>
  </si>
  <si>
    <t>Integrantes</t>
  </si>
  <si>
    <t>Total de cards</t>
  </si>
  <si>
    <t>Feito</t>
  </si>
  <si>
    <t>Fazendo</t>
  </si>
  <si>
    <t>Em Review</t>
  </si>
  <si>
    <t>A Fazer / Backlog</t>
  </si>
  <si>
    <t>% Concluído</t>
  </si>
  <si>
    <t>Aulas estimadas</t>
  </si>
  <si>
    <t>Aulas concluídas</t>
  </si>
  <si>
    <t>Radar Neurodivergente</t>
  </si>
  <si>
    <t>Ana Beatriz Ramos Del Padre (+ equipe)</t>
  </si>
  <si>
    <t>E Agora, Adulto?</t>
  </si>
  <si>
    <t>Felipe, Gabriel, Heitor, Philipe, Vitor Hugo</t>
  </si>
  <si>
    <t>Sincronize</t>
  </si>
  <si>
    <t>Alexandre, Giovana, Lara, M. Eduarda, Matheus, Rian</t>
  </si>
  <si>
    <t>Anbylize</t>
  </si>
  <si>
    <t>Luiza Brandão Nunes (+ equipe)</t>
  </si>
  <si>
    <t>Monitorizador</t>
  </si>
  <si>
    <t>Miguel Antonio Alves Gontijo (+ equipe)</t>
  </si>
  <si>
    <t>FlowUp</t>
  </si>
  <si>
    <t>Rafael Costa Fernandes (+ equipe)</t>
  </si>
  <si>
    <t>TOTAL DA TURMA</t>
  </si>
  <si>
    <t>Como usar:</t>
  </si>
  <si>
    <t>1. Cada equipe tem uma aba com todos os cards (mesmos IDs dos arquivos Kanban).</t>
  </si>
  <si>
    <t>2. Atualize só as colunas Status e Responsável nas abas — o Dashboard recalcula sozinho.</t>
  </si>
  <si>
    <t>3. Status: Backlog · A Fazer · Fazendo · Em Review · Feito (lista suspensa).</t>
  </si>
  <si>
    <t>4. Sprint: 1 = Sem. 5–6 (login, igual p/ todos) · 2 = Sem. 7–8 · 3 = Sem. 9–10.</t>
  </si>
  <si>
    <t>5. Estimativas em aulas (1 aula ≈ 50 min). Aulas concluídas somam só cards Feito.</t>
  </si>
  <si>
    <t>Issue</t>
  </si>
  <si>
    <t>Card (atividade)</t>
  </si>
  <si>
    <t>Prioridade</t>
  </si>
  <si>
    <t>Sprint</t>
  </si>
  <si>
    <t>Est. (aulas)</t>
  </si>
  <si>
    <t>Status</t>
  </si>
  <si>
    <t>Observações</t>
  </si>
  <si>
    <t>M</t>
  </si>
  <si>
    <t>A Fazer</t>
  </si>
  <si>
    <t>S</t>
  </si>
  <si>
    <t>Total de aulas estimadas:</t>
  </si>
  <si>
    <t>Aulas concluídas (Feito):</t>
  </si>
  <si>
    <t>FLW-01</t>
  </si>
  <si>
    <t>FLW-02</t>
  </si>
  <si>
    <t>FLW-03</t>
  </si>
  <si>
    <t>FLW-04</t>
  </si>
  <si>
    <t>Rafael Costa</t>
  </si>
  <si>
    <t>Guilherme Ferreira</t>
  </si>
  <si>
    <t>Luiz Meireles</t>
  </si>
  <si>
    <t>Murilo Portes</t>
  </si>
  <si>
    <t>Túlio Looks</t>
  </si>
  <si>
    <t>Configurar Firebase e ativar login com Google</t>
  </si>
  <si>
    <t>Criar o app React Native e integrar as bibliotecas</t>
  </si>
  <si>
    <t>Implementar login e logout com Google</t>
  </si>
  <si>
    <t>Rotas protegidas + Home + sessão persistente</t>
  </si>
  <si>
    <t>Responsável 1</t>
  </si>
  <si>
    <t>Responsável 2</t>
  </si>
  <si>
    <t>Finalizar em 8/9</t>
  </si>
  <si>
    <t>Finalizar em 9/9</t>
  </si>
  <si>
    <t>Miguel Antonio</t>
  </si>
  <si>
    <t>Erik</t>
  </si>
  <si>
    <t>Kaique</t>
  </si>
  <si>
    <t>Muryel</t>
  </si>
  <si>
    <t>Luiza</t>
  </si>
  <si>
    <t>Andressa</t>
  </si>
  <si>
    <t>Byanca</t>
  </si>
  <si>
    <t>Manuella</t>
  </si>
  <si>
    <t>finalizar em 8/9</t>
  </si>
  <si>
    <t>finalizar em 9/9</t>
  </si>
  <si>
    <t>Lara</t>
  </si>
  <si>
    <t>Maria Eduarda</t>
  </si>
  <si>
    <t>Alexandre</t>
  </si>
  <si>
    <t>Giovana</t>
  </si>
  <si>
    <t>Matheus</t>
  </si>
  <si>
    <t>Rian</t>
  </si>
  <si>
    <t>Atrasado</t>
  </si>
  <si>
    <t>Felipe Augusto</t>
  </si>
  <si>
    <t>Gabriel Vieira</t>
  </si>
  <si>
    <t>Heitor Calegari</t>
  </si>
  <si>
    <t>Philipe Medeiros</t>
  </si>
  <si>
    <t>Vitor Hugo</t>
  </si>
  <si>
    <t>Ana Beatriz</t>
  </si>
  <si>
    <t>João Victor</t>
  </si>
  <si>
    <t>Maria Paula</t>
  </si>
  <si>
    <t xml:space="preserve"> Sarah</t>
  </si>
  <si>
    <t>Grupo atrasado. Conversei com Ana Beatriz e expliquei que precisamos terminar hoje as issues 01 e 02</t>
  </si>
  <si>
    <t>Grupo está atrasado.</t>
  </si>
  <si>
    <t>class meeting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</si>
</sst>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6"/>
      <color rgb="FF1E2761"/>
      <name val="Arial"/>
      <charset val="1"/>
    </font>
    <font>
      <sz val="10"/>
      <color rgb="FF64748B"/>
      <name val="Arial"/>
      <charset val="1"/>
    </font>
    <font>
      <i/>
      <sz val="9"/>
      <color rgb="FFF97316"/>
      <name val="Arial"/>
      <charset val="1"/>
    </font>
    <font>
      <b/>
      <sz val="10"/>
      <color rgb="FFFFFFFF"/>
      <name val="Arial"/>
      <charset val="1"/>
    </font>
    <font>
      <b/>
      <sz val="10"/>
      <color rgb="FF7C3AED"/>
      <name val="Arial"/>
      <charset val="1"/>
    </font>
    <font>
      <sz val="10"/>
      <color rgb="FF1E293B"/>
      <name val="Arial"/>
      <charset val="1"/>
    </font>
    <font>
      <b/>
      <sz val="10"/>
      <color rgb="FFF97316"/>
      <name val="Arial"/>
      <charset val="1"/>
    </font>
    <font>
      <b/>
      <sz val="10"/>
      <color rgb="FF0E7490"/>
      <name val="Arial"/>
      <charset val="1"/>
    </font>
    <font>
      <b/>
      <sz val="10"/>
      <color rgb="FF0891B2"/>
      <name val="Arial"/>
      <charset val="1"/>
    </font>
    <font>
      <b/>
      <sz val="10"/>
      <color rgb="FF059669"/>
      <name val="Arial"/>
      <charset val="1"/>
    </font>
    <font>
      <b/>
      <sz val="10"/>
      <color rgb="FF1E2761"/>
      <name val="Arial"/>
      <charset val="1"/>
    </font>
    <font>
      <sz val="9"/>
      <color rgb="FF475569"/>
      <name val="Arial"/>
      <charset val="1"/>
    </font>
    <font>
      <b/>
      <sz val="10"/>
      <color rgb="FFDC2626"/>
      <name val="Arial"/>
      <charset val="1"/>
    </font>
    <font>
      <b/>
      <sz val="10"/>
      <color rgb="FFCA8A04"/>
      <name val="Arial"/>
      <charset val="1"/>
    </font>
    <font>
      <b/>
      <sz val="10"/>
      <color rgb="FF1E293B"/>
      <name val="Arial"/>
      <charset val="1"/>
    </font>
    <font>
      <b/>
      <sz val="10"/>
      <color rgb="FF64748B"/>
      <name val="Arial"/>
      <charset val="1"/>
    </font>
    <font>
      <sz val="10"/>
      <color rgb="FF64748B"/>
      <name val="Arial"/>
      <family val="2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sz val="8"/>
      <name val="Calibri"/>
      <family val="2"/>
      <charset val="1"/>
    </font>
    <font>
      <sz val="8"/>
      <color rgb="FF1F2328"/>
      <name val="Segoe UI"/>
      <family val="2"/>
    </font>
    <font>
      <b/>
      <sz val="10"/>
      <color rgb="FFDC262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2761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  <fill>
      <patternFill patternType="solid">
        <fgColor rgb="FF7C3AED"/>
        <bgColor rgb="FF993366"/>
      </patternFill>
    </fill>
    <fill>
      <patternFill patternType="solid">
        <fgColor rgb="FFFEE2E2"/>
        <bgColor rgb="FFE2E8F0"/>
      </patternFill>
    </fill>
    <fill>
      <patternFill patternType="solid">
        <fgColor rgb="FFFEF9C3"/>
        <bgColor rgb="FFFFFF99"/>
      </patternFill>
    </fill>
    <fill>
      <patternFill patternType="solid">
        <fgColor rgb="FFF97316"/>
        <bgColor rgb="FFCA8A04"/>
      </patternFill>
    </fill>
    <fill>
      <patternFill patternType="solid">
        <fgColor rgb="FF0E7490"/>
        <bgColor rgb="FF0891B2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0891B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1" fillId="0" borderId="0" xfId="0" applyFont="1"/>
    <xf numFmtId="0" fontId="19" fillId="3" borderId="1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left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CCCCC"/>
      <rgbColor rgb="FF808080"/>
      <rgbColor rgb="FF9999FF"/>
      <rgbColor rgb="FF7C3AED"/>
      <rgbColor rgb="FFFEF9C3"/>
      <rgbColor rgb="FFF1F5F9"/>
      <rgbColor rgb="FF660066"/>
      <rgbColor rgb="FFFF8080"/>
      <rgbColor rgb="FF0891B2"/>
      <rgbColor rgb="FFCCCCFF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CA8A04"/>
      <rgbColor rgb="FFF97316"/>
      <rgbColor rgb="FF64748B"/>
      <rgbColor rgb="FF969696"/>
      <rgbColor rgb="FF1E2761"/>
      <rgbColor rgb="FF339966"/>
      <rgbColor rgb="FF003300"/>
      <rgbColor rgb="FF333300"/>
      <rgbColor rgb="FF993300"/>
      <rgbColor rgb="FF993366"/>
      <rgbColor rgb="FF47556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0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2" sqref="E12"/>
    </sheetView>
  </sheetViews>
  <sheetFormatPr defaultColWidth="8.6640625" defaultRowHeight="14.4" x14ac:dyDescent="0.3"/>
  <cols>
    <col min="1" max="1" width="3" customWidth="1"/>
    <col min="2" max="2" width="26" customWidth="1"/>
    <col min="3" max="3" width="45.5546875" customWidth="1"/>
    <col min="4" max="4" width="13" customWidth="1"/>
    <col min="5" max="5" width="9" customWidth="1"/>
    <col min="6" max="6" width="10" customWidth="1"/>
    <col min="7" max="7" width="11" customWidth="1"/>
    <col min="8" max="8" width="16" customWidth="1"/>
    <col min="9" max="9" width="12" customWidth="1"/>
    <col min="10" max="10" width="14" customWidth="1"/>
    <col min="11" max="11" width="15" customWidth="1"/>
    <col min="12" max="12" width="21.33203125" customWidth="1"/>
  </cols>
  <sheetData>
    <row r="2" spans="2:12" ht="21" x14ac:dyDescent="0.4">
      <c r="B2" s="1" t="s">
        <v>0</v>
      </c>
    </row>
    <row r="3" spans="2:12" x14ac:dyDescent="0.3">
      <c r="B3" s="2" t="s">
        <v>1</v>
      </c>
    </row>
    <row r="4" spans="2:12" x14ac:dyDescent="0.3">
      <c r="B4" s="3" t="s">
        <v>2</v>
      </c>
    </row>
    <row r="6" spans="2:12" ht="27.75" customHeight="1" x14ac:dyDescent="0.3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59">
        <v>46273</v>
      </c>
    </row>
    <row r="7" spans="2:12" x14ac:dyDescent="0.3">
      <c r="B7" s="5" t="s">
        <v>13</v>
      </c>
      <c r="C7" s="6" t="s">
        <v>14</v>
      </c>
      <c r="D7" s="7">
        <f>COUNTA(RadarNeuro!B2:B46)</f>
        <v>4</v>
      </c>
      <c r="E7" s="7">
        <f>COUNTIF(RadarNeuro!F2:F46,"Feito")</f>
        <v>0</v>
      </c>
      <c r="F7" s="7">
        <f>COUNTIF(RadarNeuro!F2:F46,"Fazendo")</f>
        <v>0</v>
      </c>
      <c r="G7" s="7">
        <f>COUNTIF(RadarNeuro!F2:F46,"Em Review")</f>
        <v>0</v>
      </c>
      <c r="H7" s="7">
        <f>COUNTIF(RadarNeuro!F2:F46,"A Fazer")+COUNTIF(RadarNeuro!F2:F46,"Backlog")</f>
        <v>4</v>
      </c>
      <c r="I7" s="8">
        <f t="shared" ref="I7:I13" si="0">IF(D7=0,0,E7/D7)</f>
        <v>0</v>
      </c>
      <c r="J7" s="7">
        <f>SUM(RadarNeuro!E2:E46)</f>
        <v>3</v>
      </c>
      <c r="K7" s="7">
        <f>SUMIF(RadarNeuro!F2:F46,"Feito",RadarNeuro!E2:E46)</f>
        <v>0</v>
      </c>
      <c r="L7" t="s">
        <v>89</v>
      </c>
    </row>
    <row r="8" spans="2:12" x14ac:dyDescent="0.3">
      <c r="B8" s="9" t="s">
        <v>15</v>
      </c>
      <c r="C8" s="10" t="s">
        <v>16</v>
      </c>
      <c r="D8" s="11">
        <f>COUNTA(EAgoraAdulto!B2:B46)</f>
        <v>4</v>
      </c>
      <c r="E8" s="11">
        <f>COUNTIF(EAgoraAdulto!F2:F48,"Feito")</f>
        <v>1</v>
      </c>
      <c r="F8" s="11">
        <f>COUNTIF(EAgoraAdulto!F2:F48,"Fazendo")</f>
        <v>0</v>
      </c>
      <c r="G8" s="11">
        <f>COUNTIF(EAgoraAdulto!F2:F48,"Em Review")</f>
        <v>0</v>
      </c>
      <c r="H8" s="11">
        <f>COUNTIF(EAgoraAdulto!F2:F48,"A Fazer")+COUNTIF(EAgoraAdulto!F2:F48,"Backlog")</f>
        <v>3</v>
      </c>
      <c r="I8" s="12">
        <f t="shared" si="0"/>
        <v>0.25</v>
      </c>
      <c r="J8" s="11">
        <f>SUM(EAgoraAdulto!E2:E48)</f>
        <v>3</v>
      </c>
      <c r="K8" s="11">
        <f>SUMIF(EAgoraAdulto!F2:F48,"Feito",EAgoraAdulto!E2:E48)</f>
        <v>0.5</v>
      </c>
    </row>
    <row r="9" spans="2:12" x14ac:dyDescent="0.3">
      <c r="B9" s="13" t="s">
        <v>17</v>
      </c>
      <c r="C9" s="6" t="s">
        <v>18</v>
      </c>
      <c r="D9" s="7">
        <f>COUNTA(Sincronize!B2:B46)</f>
        <v>4</v>
      </c>
      <c r="E9" s="7">
        <f>COUNTIF(Sincronize!F2:F49,"Feito")</f>
        <v>0</v>
      </c>
      <c r="F9" s="7">
        <f>COUNTIF(Sincronize!F2:F49,"Fazendo")</f>
        <v>0</v>
      </c>
      <c r="G9" s="7">
        <f>COUNTIF(Sincronize!F2:F49,"Em Review")</f>
        <v>0</v>
      </c>
      <c r="H9" s="7">
        <f>COUNTIF(Sincronize!F2:F49,"A Fazer")+COUNTIF(Sincronize!F2:F49,"Backlog")</f>
        <v>4</v>
      </c>
      <c r="I9" s="8">
        <f t="shared" si="0"/>
        <v>0</v>
      </c>
      <c r="J9" s="7">
        <f>SUM(Sincronize!E2:E49)</f>
        <v>3</v>
      </c>
      <c r="K9" s="7">
        <f>SUMIF(Sincronize!F2:F49,"Feito",Sincronize!E2:E49)</f>
        <v>0</v>
      </c>
    </row>
    <row r="10" spans="2:12" x14ac:dyDescent="0.3">
      <c r="B10" s="14" t="s">
        <v>19</v>
      </c>
      <c r="C10" s="10" t="s">
        <v>20</v>
      </c>
      <c r="D10" s="11">
        <f>COUNTA(Anbylize!B2:B46)</f>
        <v>4</v>
      </c>
      <c r="E10" s="11">
        <f>COUNTIF(Anbylize!F2:F47,"Feito")</f>
        <v>2</v>
      </c>
      <c r="F10" s="11">
        <f>COUNTIF(Anbylize!F2:F47,"Fazendo")</f>
        <v>0</v>
      </c>
      <c r="G10" s="11">
        <f>COUNTIF(Anbylize!F2:F47,"Em Review")</f>
        <v>0</v>
      </c>
      <c r="H10" s="11">
        <f>COUNTIF(Anbylize!F2:F47,"A Fazer")+COUNTIF(Anbylize!F2:F47,"Backlog")</f>
        <v>2</v>
      </c>
      <c r="I10" s="12">
        <f t="shared" si="0"/>
        <v>0.5</v>
      </c>
      <c r="J10" s="11">
        <f>SUM(Anbylize!E2:E47)</f>
        <v>3</v>
      </c>
      <c r="K10" s="11">
        <f>SUMIF(Anbylize!F2:F47,"Feito",Anbylize!E2:E47)</f>
        <v>1</v>
      </c>
    </row>
    <row r="11" spans="2:12" x14ac:dyDescent="0.3">
      <c r="B11" s="15" t="s">
        <v>21</v>
      </c>
      <c r="C11" s="6" t="s">
        <v>22</v>
      </c>
      <c r="D11" s="7">
        <f>COUNTA(Monitorizador!B2:B43)</f>
        <v>4</v>
      </c>
      <c r="E11" s="7">
        <f>COUNTIF(Monitorizador!F2:F43,"Feito")</f>
        <v>0</v>
      </c>
      <c r="F11" s="7">
        <f>COUNTIF(Monitorizador!F2:F43,"Fazendo")</f>
        <v>1</v>
      </c>
      <c r="G11" s="7">
        <f>COUNTIF(Monitorizador!F2:F43,"Em Review")</f>
        <v>0</v>
      </c>
      <c r="H11" s="7">
        <f>COUNTIF(Monitorizador!F2:F43,"A Fazer")+COUNTIF(Monitorizador!F2:F43,"Backlog")</f>
        <v>3</v>
      </c>
      <c r="I11" s="8">
        <f t="shared" si="0"/>
        <v>0</v>
      </c>
      <c r="J11" s="7">
        <f>SUM(Monitorizador!E2:E43)</f>
        <v>3</v>
      </c>
      <c r="K11" s="7">
        <f>SUMIF(Monitorizador!F2:F43,"Feito",Monitorizador!E2:E43)</f>
        <v>0</v>
      </c>
      <c r="L11" t="s">
        <v>89</v>
      </c>
    </row>
    <row r="12" spans="2:12" x14ac:dyDescent="0.3">
      <c r="B12" s="16" t="s">
        <v>23</v>
      </c>
      <c r="C12" s="10" t="s">
        <v>24</v>
      </c>
      <c r="D12" s="11">
        <f>COUNTA(FlowUp!B2:B42)</f>
        <v>4</v>
      </c>
      <c r="E12" s="11">
        <f>COUNTIF(FlowUp!F2:F43,"Feito")</f>
        <v>1</v>
      </c>
      <c r="F12" s="11">
        <f>COUNTIF(FlowUp!F2:F43,"Fazendo")</f>
        <v>1</v>
      </c>
      <c r="G12" s="11">
        <f>COUNTIF(FlowUp!F2:F43,"Em Review")</f>
        <v>0</v>
      </c>
      <c r="H12" s="11">
        <f>COUNTIF(FlowUp!F2:F43,"A Fazer")+COUNTIF(FlowUp!F2:F43,"Backlog")</f>
        <v>2</v>
      </c>
      <c r="I12" s="12">
        <f t="shared" si="0"/>
        <v>0.25</v>
      </c>
      <c r="J12" s="11">
        <f>SUM(FlowUp!E2:E43)</f>
        <v>3</v>
      </c>
      <c r="K12" s="11">
        <f>SUMIF(FlowUp!F2:F43,"Feito",FlowUp!E2:E43)</f>
        <v>0.5</v>
      </c>
    </row>
    <row r="13" spans="2:12" x14ac:dyDescent="0.3">
      <c r="B13" s="17" t="s">
        <v>25</v>
      </c>
      <c r="C13" s="18"/>
      <c r="D13" s="4">
        <f>SUM(D7:D12)</f>
        <v>24</v>
      </c>
      <c r="E13" s="4">
        <f>SUM(E7:E12)</f>
        <v>4</v>
      </c>
      <c r="F13" s="4">
        <f>SUM(F7:F12)</f>
        <v>2</v>
      </c>
      <c r="G13" s="4">
        <f>SUM(G7:G12)</f>
        <v>0</v>
      </c>
      <c r="H13" s="4">
        <f>SUM(H7:H12)</f>
        <v>18</v>
      </c>
      <c r="I13" s="19">
        <f t="shared" si="0"/>
        <v>0.16666666666666666</v>
      </c>
      <c r="J13" s="4">
        <f>SUM(J7:J12)</f>
        <v>18</v>
      </c>
      <c r="K13" s="4">
        <f>SUM(K7:K12)</f>
        <v>2</v>
      </c>
    </row>
    <row r="15" spans="2:12" x14ac:dyDescent="0.3">
      <c r="B15" s="20" t="s">
        <v>26</v>
      </c>
    </row>
    <row r="16" spans="2:12" x14ac:dyDescent="0.3">
      <c r="B16" s="21" t="s">
        <v>27</v>
      </c>
    </row>
    <row r="17" spans="2:2" x14ac:dyDescent="0.3">
      <c r="B17" s="21" t="s">
        <v>28</v>
      </c>
    </row>
    <row r="18" spans="2:2" x14ac:dyDescent="0.3">
      <c r="B18" s="21" t="s">
        <v>29</v>
      </c>
    </row>
    <row r="19" spans="2:2" x14ac:dyDescent="0.3">
      <c r="B19" s="21" t="s">
        <v>30</v>
      </c>
    </row>
    <row r="20" spans="2:2" x14ac:dyDescent="0.3">
      <c r="B20" s="21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zoomScaleNormal="100" workbookViewId="0">
      <pane ySplit="1" topLeftCell="A2" activePane="bottomLeft" state="frozen"/>
      <selection pane="bottomLeft" activeCell="I2" sqref="I2:I3"/>
    </sheetView>
  </sheetViews>
  <sheetFormatPr defaultColWidth="8.6640625" defaultRowHeight="14.4" x14ac:dyDescent="0.3"/>
  <cols>
    <col min="1" max="1" width="9" customWidth="1"/>
    <col min="2" max="2" width="50" customWidth="1"/>
    <col min="3" max="3" width="12.77734375" customWidth="1"/>
    <col min="4" max="4" width="11.44140625" customWidth="1"/>
    <col min="5" max="5" width="12.33203125" customWidth="1"/>
    <col min="6" max="6" width="12" customWidth="1"/>
    <col min="7" max="8" width="18.77734375" customWidth="1"/>
    <col min="9" max="9" width="52.88671875" customWidth="1"/>
  </cols>
  <sheetData>
    <row r="1" spans="1:9" x14ac:dyDescent="0.3">
      <c r="A1" s="22" t="s">
        <v>32</v>
      </c>
      <c r="B1" s="22" t="s">
        <v>33</v>
      </c>
      <c r="C1" s="22" t="s">
        <v>34</v>
      </c>
      <c r="D1" s="22" t="s">
        <v>35</v>
      </c>
      <c r="E1" s="22" t="s">
        <v>36</v>
      </c>
      <c r="F1" s="22" t="s">
        <v>37</v>
      </c>
      <c r="G1" s="56" t="s">
        <v>57</v>
      </c>
      <c r="H1" s="56" t="s">
        <v>58</v>
      </c>
      <c r="I1" s="22" t="s">
        <v>38</v>
      </c>
    </row>
    <row r="2" spans="1:9" x14ac:dyDescent="0.3">
      <c r="A2" s="34" t="s">
        <v>44</v>
      </c>
      <c r="B2" s="42" t="s">
        <v>53</v>
      </c>
      <c r="C2" s="43" t="s">
        <v>39</v>
      </c>
      <c r="D2" s="44">
        <v>1</v>
      </c>
      <c r="E2" s="44">
        <v>0.5</v>
      </c>
      <c r="F2" s="7" t="s">
        <v>40</v>
      </c>
      <c r="G2" s="7" t="s">
        <v>85</v>
      </c>
      <c r="H2" s="7"/>
      <c r="I2" s="57" t="s">
        <v>87</v>
      </c>
    </row>
    <row r="3" spans="1:9" x14ac:dyDescent="0.3">
      <c r="A3" s="45" t="s">
        <v>45</v>
      </c>
      <c r="B3" s="46" t="s">
        <v>54</v>
      </c>
      <c r="C3" s="47" t="s">
        <v>39</v>
      </c>
      <c r="D3" s="48">
        <v>1</v>
      </c>
      <c r="E3" s="48">
        <v>0.5</v>
      </c>
      <c r="F3" s="11" t="s">
        <v>40</v>
      </c>
      <c r="G3" s="7" t="s">
        <v>86</v>
      </c>
      <c r="H3" s="7"/>
      <c r="I3" s="58"/>
    </row>
    <row r="4" spans="1:9" x14ac:dyDescent="0.3">
      <c r="A4" s="49" t="s">
        <v>46</v>
      </c>
      <c r="B4" s="50" t="s">
        <v>55</v>
      </c>
      <c r="C4" s="47" t="s">
        <v>39</v>
      </c>
      <c r="D4" s="51">
        <v>1</v>
      </c>
      <c r="E4" s="51">
        <v>1</v>
      </c>
      <c r="F4" s="7" t="s">
        <v>40</v>
      </c>
      <c r="G4" s="7" t="s">
        <v>83</v>
      </c>
      <c r="H4" s="7"/>
      <c r="I4" s="6"/>
    </row>
    <row r="5" spans="1:9" x14ac:dyDescent="0.3">
      <c r="A5" s="45" t="s">
        <v>47</v>
      </c>
      <c r="B5" s="46" t="s">
        <v>56</v>
      </c>
      <c r="C5" s="47" t="s">
        <v>39</v>
      </c>
      <c r="D5" s="48">
        <v>1</v>
      </c>
      <c r="E5" s="48">
        <v>1</v>
      </c>
      <c r="F5" s="11" t="s">
        <v>40</v>
      </c>
      <c r="G5" s="7" t="s">
        <v>84</v>
      </c>
      <c r="H5" s="7"/>
      <c r="I5" s="10"/>
    </row>
    <row r="6" spans="1:9" x14ac:dyDescent="0.3">
      <c r="A6" s="23"/>
      <c r="B6" s="6"/>
      <c r="C6" s="24"/>
      <c r="D6" s="7"/>
      <c r="E6" s="7"/>
      <c r="F6" s="7"/>
      <c r="G6" s="7"/>
      <c r="H6" s="7"/>
      <c r="I6" s="6"/>
    </row>
    <row r="7" spans="1:9" x14ac:dyDescent="0.3">
      <c r="A7" s="25"/>
      <c r="B7" s="10"/>
      <c r="C7" s="24"/>
      <c r="D7" s="11"/>
      <c r="E7" s="11"/>
      <c r="F7" s="11"/>
      <c r="G7" s="7"/>
      <c r="H7" s="7"/>
      <c r="I7" s="10"/>
    </row>
    <row r="8" spans="1:9" x14ac:dyDescent="0.3">
      <c r="A8" s="23"/>
      <c r="B8" s="6"/>
      <c r="C8" s="24"/>
      <c r="D8" s="7"/>
      <c r="E8" s="7"/>
      <c r="F8" s="7"/>
      <c r="G8" s="7"/>
      <c r="H8" s="7"/>
      <c r="I8" s="6"/>
    </row>
    <row r="9" spans="1:9" x14ac:dyDescent="0.3">
      <c r="A9" s="25"/>
      <c r="B9" s="10"/>
      <c r="C9" s="24"/>
      <c r="D9" s="11"/>
      <c r="E9" s="11"/>
      <c r="F9" s="11"/>
      <c r="G9" s="7"/>
      <c r="H9" s="7"/>
      <c r="I9" s="10"/>
    </row>
    <row r="10" spans="1:9" x14ac:dyDescent="0.3">
      <c r="A10" s="23"/>
      <c r="B10" s="6"/>
      <c r="C10" s="24"/>
      <c r="D10" s="7"/>
      <c r="E10" s="7"/>
      <c r="F10" s="7"/>
      <c r="G10" s="7"/>
      <c r="H10" s="7"/>
      <c r="I10" s="6"/>
    </row>
    <row r="11" spans="1:9" x14ac:dyDescent="0.3">
      <c r="A11" s="25"/>
      <c r="B11" s="10"/>
      <c r="C11" s="24"/>
      <c r="D11" s="11"/>
      <c r="E11" s="11"/>
      <c r="F11" s="11"/>
      <c r="G11" s="7"/>
      <c r="H11" s="7"/>
      <c r="I11" s="10"/>
    </row>
    <row r="12" spans="1:9" x14ac:dyDescent="0.3">
      <c r="A12" s="23"/>
      <c r="B12" s="6"/>
      <c r="C12" s="24"/>
      <c r="D12" s="7"/>
      <c r="E12" s="7"/>
      <c r="F12" s="7"/>
      <c r="G12" s="7"/>
      <c r="H12" s="7"/>
      <c r="I12" s="6"/>
    </row>
    <row r="13" spans="1:9" x14ac:dyDescent="0.3">
      <c r="A13" s="25"/>
      <c r="B13" s="10"/>
      <c r="C13" s="24"/>
      <c r="D13" s="11"/>
      <c r="E13" s="11"/>
      <c r="F13" s="11"/>
      <c r="G13" s="7"/>
      <c r="H13" s="7"/>
      <c r="I13" s="10"/>
    </row>
    <row r="14" spans="1:9" x14ac:dyDescent="0.3">
      <c r="A14" s="23"/>
      <c r="B14" s="6"/>
      <c r="C14" s="24"/>
      <c r="D14" s="7"/>
      <c r="E14" s="7"/>
      <c r="F14" s="7"/>
      <c r="G14" s="7"/>
      <c r="H14" s="7"/>
      <c r="I14" s="6"/>
    </row>
    <row r="15" spans="1:9" x14ac:dyDescent="0.3">
      <c r="A15" s="25"/>
      <c r="B15" s="10"/>
      <c r="C15" s="24"/>
      <c r="D15" s="11"/>
      <c r="E15" s="11"/>
      <c r="F15" s="11"/>
      <c r="G15" s="7"/>
      <c r="H15" s="7"/>
      <c r="I15" s="10"/>
    </row>
    <row r="16" spans="1:9" x14ac:dyDescent="0.3">
      <c r="A16" s="23"/>
      <c r="B16" s="6"/>
      <c r="C16" s="24"/>
      <c r="D16" s="7"/>
      <c r="E16" s="7"/>
      <c r="F16" s="7"/>
      <c r="G16" s="7"/>
      <c r="H16" s="7"/>
      <c r="I16" s="6"/>
    </row>
    <row r="17" spans="1:9" x14ac:dyDescent="0.3">
      <c r="A17" s="25"/>
      <c r="B17" s="10"/>
      <c r="C17" s="24"/>
      <c r="D17" s="11"/>
      <c r="E17" s="11"/>
      <c r="F17" s="11"/>
      <c r="G17" s="7"/>
      <c r="H17" s="7"/>
      <c r="I17" s="10"/>
    </row>
    <row r="18" spans="1:9" x14ac:dyDescent="0.3">
      <c r="A18" s="23"/>
      <c r="B18" s="6"/>
      <c r="C18" s="24"/>
      <c r="D18" s="7"/>
      <c r="E18" s="7"/>
      <c r="F18" s="7"/>
      <c r="G18" s="7"/>
      <c r="H18" s="7"/>
      <c r="I18" s="6"/>
    </row>
    <row r="19" spans="1:9" x14ac:dyDescent="0.3">
      <c r="A19" s="25"/>
      <c r="B19" s="10"/>
      <c r="C19" s="24"/>
      <c r="D19" s="11"/>
      <c r="E19" s="11"/>
      <c r="F19" s="11"/>
      <c r="G19" s="7"/>
      <c r="H19" s="7"/>
      <c r="I19" s="10"/>
    </row>
    <row r="20" spans="1:9" x14ac:dyDescent="0.3">
      <c r="A20" s="23"/>
      <c r="B20" s="6"/>
      <c r="C20" s="24"/>
      <c r="D20" s="7"/>
      <c r="E20" s="7"/>
      <c r="F20" s="7"/>
      <c r="G20" s="7"/>
      <c r="H20" s="7"/>
      <c r="I20" s="6"/>
    </row>
    <row r="21" spans="1:9" x14ac:dyDescent="0.3">
      <c r="A21" s="25"/>
      <c r="B21" s="10"/>
      <c r="C21" s="24"/>
      <c r="D21" s="11"/>
      <c r="E21" s="11"/>
      <c r="F21" s="11"/>
      <c r="G21" s="7"/>
      <c r="H21" s="7"/>
      <c r="I21" s="10"/>
    </row>
    <row r="22" spans="1:9" x14ac:dyDescent="0.3">
      <c r="A22" s="23"/>
      <c r="B22" s="6"/>
      <c r="C22" s="24"/>
      <c r="D22" s="7"/>
      <c r="E22" s="7"/>
      <c r="F22" s="7"/>
      <c r="G22" s="7"/>
      <c r="H22" s="7"/>
      <c r="I22" s="6"/>
    </row>
    <row r="23" spans="1:9" x14ac:dyDescent="0.3">
      <c r="A23" s="25"/>
      <c r="B23" s="10"/>
      <c r="C23" s="24"/>
      <c r="D23" s="11"/>
      <c r="E23" s="11"/>
      <c r="F23" s="11"/>
      <c r="G23" s="7"/>
      <c r="H23" s="7"/>
      <c r="I23" s="10"/>
    </row>
    <row r="24" spans="1:9" x14ac:dyDescent="0.3">
      <c r="A24" s="23"/>
      <c r="B24" s="6"/>
      <c r="C24" s="24"/>
      <c r="D24" s="7"/>
      <c r="E24" s="7"/>
      <c r="F24" s="7"/>
      <c r="G24" s="7"/>
      <c r="H24" s="7"/>
      <c r="I24" s="6"/>
    </row>
    <row r="25" spans="1:9" x14ac:dyDescent="0.3">
      <c r="A25" s="25"/>
      <c r="B25" s="10"/>
      <c r="C25" s="24"/>
      <c r="D25" s="11"/>
      <c r="E25" s="11"/>
      <c r="F25" s="11"/>
      <c r="G25" s="7"/>
      <c r="H25" s="7"/>
      <c r="I25" s="10"/>
    </row>
    <row r="26" spans="1:9" x14ac:dyDescent="0.3">
      <c r="A26" s="23"/>
      <c r="B26" s="6"/>
      <c r="C26" s="24"/>
      <c r="D26" s="7"/>
      <c r="E26" s="7"/>
      <c r="F26" s="7"/>
      <c r="G26" s="7"/>
      <c r="H26" s="7"/>
      <c r="I26" s="6"/>
    </row>
    <row r="27" spans="1:9" x14ac:dyDescent="0.3">
      <c r="A27" s="25"/>
      <c r="B27" s="10"/>
      <c r="C27" s="24"/>
      <c r="D27" s="11"/>
      <c r="E27" s="11"/>
      <c r="F27" s="11"/>
      <c r="G27" s="7"/>
      <c r="H27" s="7"/>
      <c r="I27" s="10"/>
    </row>
    <row r="28" spans="1:9" x14ac:dyDescent="0.3">
      <c r="A28" s="23"/>
      <c r="B28" s="6"/>
      <c r="C28" s="24"/>
      <c r="D28" s="7"/>
      <c r="E28" s="7"/>
      <c r="F28" s="7"/>
      <c r="G28" s="7"/>
      <c r="H28" s="7"/>
      <c r="I28" s="6"/>
    </row>
    <row r="29" spans="1:9" x14ac:dyDescent="0.3">
      <c r="A29" s="25"/>
      <c r="B29" s="10"/>
      <c r="C29" s="24"/>
      <c r="D29" s="11"/>
      <c r="E29" s="11"/>
      <c r="F29" s="11"/>
      <c r="G29" s="7"/>
      <c r="H29" s="7"/>
      <c r="I29" s="10"/>
    </row>
    <row r="30" spans="1:9" x14ac:dyDescent="0.3">
      <c r="A30" s="23"/>
      <c r="B30" s="6"/>
      <c r="C30" s="24"/>
      <c r="D30" s="7"/>
      <c r="E30" s="7"/>
      <c r="F30" s="7"/>
      <c r="G30" s="7"/>
      <c r="H30" s="7"/>
      <c r="I30" s="6"/>
    </row>
    <row r="31" spans="1:9" x14ac:dyDescent="0.3">
      <c r="A31" s="25"/>
      <c r="B31" s="10"/>
      <c r="C31" s="24"/>
      <c r="D31" s="11"/>
      <c r="E31" s="11"/>
      <c r="F31" s="11"/>
      <c r="G31" s="7"/>
      <c r="H31" s="7"/>
      <c r="I31" s="10"/>
    </row>
    <row r="32" spans="1:9" x14ac:dyDescent="0.3">
      <c r="A32" s="23"/>
      <c r="B32" s="6"/>
      <c r="C32" s="24"/>
      <c r="D32" s="7"/>
      <c r="E32" s="7"/>
      <c r="F32" s="7"/>
      <c r="G32" s="7"/>
      <c r="H32" s="7"/>
      <c r="I32" s="6"/>
    </row>
    <row r="33" spans="1:9" x14ac:dyDescent="0.3">
      <c r="A33" s="25"/>
      <c r="B33" s="10"/>
      <c r="C33" s="24"/>
      <c r="D33" s="11"/>
      <c r="E33" s="11"/>
      <c r="F33" s="11"/>
      <c r="G33" s="7"/>
      <c r="H33" s="7"/>
      <c r="I33" s="10"/>
    </row>
    <row r="34" spans="1:9" x14ac:dyDescent="0.3">
      <c r="A34" s="23"/>
      <c r="B34" s="6"/>
      <c r="C34" s="24"/>
      <c r="D34" s="7"/>
      <c r="E34" s="7"/>
      <c r="F34" s="7"/>
      <c r="G34" s="7"/>
      <c r="H34" s="7"/>
      <c r="I34" s="6"/>
    </row>
    <row r="35" spans="1:9" x14ac:dyDescent="0.3">
      <c r="A35" s="25"/>
      <c r="B35" s="10"/>
      <c r="C35" s="24"/>
      <c r="D35" s="11"/>
      <c r="E35" s="11"/>
      <c r="F35" s="11"/>
      <c r="G35" s="7"/>
      <c r="H35" s="7"/>
      <c r="I35" s="10"/>
    </row>
    <row r="36" spans="1:9" x14ac:dyDescent="0.3">
      <c r="A36" s="23"/>
      <c r="B36" s="6"/>
      <c r="C36" s="26"/>
      <c r="D36" s="7"/>
      <c r="E36" s="7"/>
      <c r="F36" s="7"/>
      <c r="G36" s="7"/>
      <c r="H36" s="7"/>
      <c r="I36" s="6"/>
    </row>
    <row r="37" spans="1:9" x14ac:dyDescent="0.3">
      <c r="A37" s="25"/>
      <c r="B37" s="10"/>
      <c r="C37" s="26"/>
      <c r="D37" s="11"/>
      <c r="E37" s="11"/>
      <c r="F37" s="11"/>
      <c r="G37" s="7"/>
      <c r="H37" s="7"/>
      <c r="I37" s="10"/>
    </row>
    <row r="38" spans="1:9" x14ac:dyDescent="0.3">
      <c r="A38" s="23"/>
      <c r="B38" s="6"/>
      <c r="C38" s="26"/>
      <c r="D38" s="7"/>
      <c r="E38" s="7"/>
      <c r="F38" s="7"/>
      <c r="G38" s="7"/>
      <c r="H38" s="7"/>
      <c r="I38" s="6"/>
    </row>
    <row r="39" spans="1:9" x14ac:dyDescent="0.3">
      <c r="A39" s="25"/>
      <c r="B39" s="10"/>
      <c r="C39" s="26"/>
      <c r="D39" s="11"/>
      <c r="E39" s="11"/>
      <c r="F39" s="11"/>
      <c r="G39" s="7"/>
      <c r="H39" s="7"/>
      <c r="I39" s="10"/>
    </row>
    <row r="40" spans="1:9" x14ac:dyDescent="0.3">
      <c r="A40" s="23"/>
      <c r="B40" s="6"/>
      <c r="C40" s="26"/>
      <c r="D40" s="7"/>
      <c r="E40" s="7"/>
      <c r="F40" s="7"/>
      <c r="G40" s="7"/>
      <c r="H40" s="7"/>
      <c r="I40" s="6"/>
    </row>
    <row r="41" spans="1:9" x14ac:dyDescent="0.3">
      <c r="A41" s="25"/>
      <c r="B41" s="10"/>
      <c r="C41" s="26"/>
      <c r="D41" s="11"/>
      <c r="E41" s="11"/>
      <c r="F41" s="11"/>
      <c r="G41" s="7"/>
      <c r="H41" s="7"/>
      <c r="I41" s="10"/>
    </row>
    <row r="42" spans="1:9" x14ac:dyDescent="0.3">
      <c r="A42" s="23"/>
      <c r="B42" s="6"/>
      <c r="C42" s="24"/>
      <c r="D42" s="7"/>
      <c r="E42" s="7"/>
      <c r="F42" s="7"/>
      <c r="G42" s="7"/>
      <c r="H42" s="7"/>
      <c r="I42" s="6"/>
    </row>
    <row r="43" spans="1:9" x14ac:dyDescent="0.3">
      <c r="A43" s="25"/>
      <c r="B43" s="10"/>
      <c r="C43" s="24"/>
      <c r="D43" s="11"/>
      <c r="E43" s="11"/>
      <c r="F43" s="11"/>
      <c r="G43" s="7"/>
      <c r="H43" s="7"/>
      <c r="I43" s="10"/>
    </row>
    <row r="44" spans="1:9" x14ac:dyDescent="0.3">
      <c r="A44" s="23"/>
      <c r="B44" s="6"/>
      <c r="C44" s="24"/>
      <c r="D44" s="7"/>
      <c r="E44" s="7"/>
      <c r="F44" s="7"/>
      <c r="G44" s="7"/>
      <c r="H44" s="7"/>
      <c r="I44" s="6"/>
    </row>
    <row r="45" spans="1:9" x14ac:dyDescent="0.3">
      <c r="A45" s="25"/>
      <c r="B45" s="10"/>
      <c r="C45" s="24"/>
      <c r="D45" s="11"/>
      <c r="E45" s="11"/>
      <c r="F45" s="11"/>
      <c r="G45" s="7"/>
      <c r="H45" s="7"/>
      <c r="I45" s="10"/>
    </row>
    <row r="46" spans="1:9" x14ac:dyDescent="0.3">
      <c r="A46" s="23"/>
      <c r="B46" s="6"/>
      <c r="C46" s="24"/>
      <c r="D46" s="7"/>
      <c r="E46" s="7"/>
      <c r="F46" s="7"/>
      <c r="G46" s="7"/>
      <c r="H46" s="7"/>
      <c r="I46" s="6"/>
    </row>
    <row r="48" spans="1:9" x14ac:dyDescent="0.3">
      <c r="B48" s="27" t="s">
        <v>42</v>
      </c>
      <c r="E48" s="28">
        <f>SUM(E2:E46)</f>
        <v>3</v>
      </c>
    </row>
    <row r="49" spans="2:5" x14ac:dyDescent="0.3">
      <c r="B49" s="27" t="s">
        <v>43</v>
      </c>
      <c r="E49" s="28">
        <f>SUMIF(F2:F46,"Feito",E2:E46)</f>
        <v>0</v>
      </c>
    </row>
    <row r="52" spans="2:5" x14ac:dyDescent="0.3">
      <c r="B52" s="40" t="s">
        <v>83</v>
      </c>
    </row>
    <row r="53" spans="2:5" x14ac:dyDescent="0.3">
      <c r="B53" s="40" t="s">
        <v>84</v>
      </c>
    </row>
    <row r="54" spans="2:5" x14ac:dyDescent="0.3">
      <c r="B54" s="40" t="s">
        <v>85</v>
      </c>
    </row>
    <row r="55" spans="2:5" x14ac:dyDescent="0.3">
      <c r="B55" s="40" t="s">
        <v>86</v>
      </c>
    </row>
  </sheetData>
  <autoFilter ref="A1:I46" xr:uid="{00000000-0009-0000-0000-000001000000}"/>
  <mergeCells count="1">
    <mergeCell ref="I2:I3"/>
  </mergeCells>
  <dataValidations count="2">
    <dataValidation type="list" allowBlank="1" sqref="F2:F46" xr:uid="{00000000-0002-0000-0100-000000000000}">
      <formula1>"Backlog,A Fazer,Fazendo,Em Review,Feito"</formula1>
      <formula2>0</formula2>
    </dataValidation>
    <dataValidation type="list" allowBlank="1" sqref="G2:H46" xr:uid="{13FC277D-ED3D-449C-97E6-B0A00001F123}">
      <formula1>$B$52:$B$55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0"/>
  <sheetViews>
    <sheetView zoomScaleNormal="100" workbookViewId="0">
      <pane ySplit="1" topLeftCell="A2" activePane="bottomLeft" state="frozen"/>
      <selection pane="bottomLeft" activeCell="M8" sqref="M8"/>
    </sheetView>
  </sheetViews>
  <sheetFormatPr defaultColWidth="8.6640625" defaultRowHeight="14.4" x14ac:dyDescent="0.3"/>
  <cols>
    <col min="1" max="1" width="9" customWidth="1"/>
    <col min="2" max="2" width="50" customWidth="1"/>
    <col min="3" max="3" width="10" customWidth="1"/>
    <col min="4" max="4" width="7" customWidth="1"/>
    <col min="5" max="5" width="10" customWidth="1"/>
    <col min="6" max="6" width="12" customWidth="1"/>
    <col min="7" max="8" width="19.109375" customWidth="1"/>
    <col min="9" max="9" width="28" customWidth="1"/>
  </cols>
  <sheetData>
    <row r="1" spans="1:9" ht="26.4" x14ac:dyDescent="0.3">
      <c r="A1" s="29" t="s">
        <v>32</v>
      </c>
      <c r="B1" s="29" t="s">
        <v>33</v>
      </c>
      <c r="C1" s="29" t="s">
        <v>34</v>
      </c>
      <c r="D1" s="29" t="s">
        <v>35</v>
      </c>
      <c r="E1" s="29" t="s">
        <v>36</v>
      </c>
      <c r="F1" s="29" t="s">
        <v>37</v>
      </c>
      <c r="G1" s="55" t="s">
        <v>57</v>
      </c>
      <c r="H1" s="55" t="s">
        <v>58</v>
      </c>
      <c r="I1" s="29" t="s">
        <v>38</v>
      </c>
    </row>
    <row r="2" spans="1:9" x14ac:dyDescent="0.3">
      <c r="A2" s="34" t="s">
        <v>44</v>
      </c>
      <c r="B2" s="42" t="s">
        <v>53</v>
      </c>
      <c r="C2" s="43" t="s">
        <v>39</v>
      </c>
      <c r="D2" s="44">
        <v>1</v>
      </c>
      <c r="E2" s="44">
        <v>0.5</v>
      </c>
      <c r="F2" s="7" t="s">
        <v>6</v>
      </c>
      <c r="G2" s="7" t="s">
        <v>81</v>
      </c>
      <c r="H2" s="7"/>
      <c r="I2" s="6"/>
    </row>
    <row r="3" spans="1:9" x14ac:dyDescent="0.3">
      <c r="A3" s="45" t="s">
        <v>45</v>
      </c>
      <c r="B3" s="46" t="s">
        <v>54</v>
      </c>
      <c r="C3" s="47" t="s">
        <v>39</v>
      </c>
      <c r="D3" s="48">
        <v>1</v>
      </c>
      <c r="E3" s="48">
        <v>0.5</v>
      </c>
      <c r="F3" s="11" t="s">
        <v>40</v>
      </c>
      <c r="G3" s="7" t="s">
        <v>80</v>
      </c>
      <c r="H3" s="7"/>
      <c r="I3" s="39" t="s">
        <v>69</v>
      </c>
    </row>
    <row r="4" spans="1:9" x14ac:dyDescent="0.3">
      <c r="A4" s="49" t="s">
        <v>46</v>
      </c>
      <c r="B4" s="50" t="s">
        <v>55</v>
      </c>
      <c r="C4" s="47" t="s">
        <v>39</v>
      </c>
      <c r="D4" s="51">
        <v>1</v>
      </c>
      <c r="E4" s="51">
        <v>1</v>
      </c>
      <c r="F4" s="7" t="s">
        <v>40</v>
      </c>
      <c r="G4" s="7" t="s">
        <v>78</v>
      </c>
      <c r="H4" s="7"/>
      <c r="I4" s="39" t="s">
        <v>69</v>
      </c>
    </row>
    <row r="5" spans="1:9" x14ac:dyDescent="0.3">
      <c r="A5" s="45" t="s">
        <v>47</v>
      </c>
      <c r="B5" s="46" t="s">
        <v>56</v>
      </c>
      <c r="C5" s="47" t="s">
        <v>39</v>
      </c>
      <c r="D5" s="48">
        <v>1</v>
      </c>
      <c r="E5" s="48">
        <v>1</v>
      </c>
      <c r="F5" s="11" t="s">
        <v>40</v>
      </c>
      <c r="G5" s="7" t="s">
        <v>79</v>
      </c>
      <c r="H5" s="7" t="s">
        <v>82</v>
      </c>
      <c r="I5" s="39" t="s">
        <v>70</v>
      </c>
    </row>
    <row r="6" spans="1:9" x14ac:dyDescent="0.3">
      <c r="A6" s="23"/>
      <c r="B6" s="6"/>
      <c r="C6" s="24"/>
      <c r="D6" s="7"/>
      <c r="E6" s="7"/>
      <c r="F6" s="7"/>
      <c r="G6" s="7"/>
      <c r="H6" s="7"/>
      <c r="I6" s="6"/>
    </row>
    <row r="7" spans="1:9" x14ac:dyDescent="0.3">
      <c r="A7" s="25"/>
      <c r="B7" s="10"/>
      <c r="C7" s="24"/>
      <c r="D7" s="11"/>
      <c r="E7" s="11"/>
      <c r="F7" s="11"/>
      <c r="G7" s="7"/>
      <c r="H7" s="7"/>
      <c r="I7" s="10"/>
    </row>
    <row r="8" spans="1:9" x14ac:dyDescent="0.3">
      <c r="A8" s="23"/>
      <c r="B8" s="6"/>
      <c r="C8" s="24"/>
      <c r="D8" s="7"/>
      <c r="E8" s="7"/>
      <c r="F8" s="7"/>
      <c r="G8" s="7"/>
      <c r="H8" s="7"/>
      <c r="I8" s="6"/>
    </row>
    <row r="9" spans="1:9" x14ac:dyDescent="0.3">
      <c r="A9" s="25"/>
      <c r="B9" s="10"/>
      <c r="C9" s="24"/>
      <c r="D9" s="11"/>
      <c r="E9" s="11"/>
      <c r="F9" s="11"/>
      <c r="G9" s="7"/>
      <c r="H9" s="7"/>
      <c r="I9" s="10"/>
    </row>
    <row r="10" spans="1:9" x14ac:dyDescent="0.3">
      <c r="A10" s="23"/>
      <c r="B10" s="6"/>
      <c r="C10" s="24"/>
      <c r="D10" s="7"/>
      <c r="E10" s="7"/>
      <c r="F10" s="7"/>
      <c r="G10" s="7"/>
      <c r="H10" s="7"/>
      <c r="I10" s="6"/>
    </row>
    <row r="11" spans="1:9" x14ac:dyDescent="0.3">
      <c r="A11" s="25"/>
      <c r="B11" s="10"/>
      <c r="C11" s="24"/>
      <c r="D11" s="11"/>
      <c r="E11" s="11"/>
      <c r="F11" s="11"/>
      <c r="G11" s="7"/>
      <c r="H11" s="7"/>
      <c r="I11" s="10"/>
    </row>
    <row r="12" spans="1:9" x14ac:dyDescent="0.3">
      <c r="A12" s="23"/>
      <c r="B12" s="6"/>
      <c r="C12" s="24"/>
      <c r="D12" s="7"/>
      <c r="E12" s="7"/>
      <c r="F12" s="7"/>
      <c r="G12" s="7"/>
      <c r="H12" s="7"/>
      <c r="I12" s="6"/>
    </row>
    <row r="13" spans="1:9" x14ac:dyDescent="0.3">
      <c r="A13" s="25"/>
      <c r="B13" s="10"/>
      <c r="C13" s="24"/>
      <c r="D13" s="11"/>
      <c r="E13" s="11"/>
      <c r="F13" s="11"/>
      <c r="G13" s="7"/>
      <c r="H13" s="7"/>
      <c r="I13" s="10"/>
    </row>
    <row r="14" spans="1:9" x14ac:dyDescent="0.3">
      <c r="A14" s="23"/>
      <c r="B14" s="6"/>
      <c r="C14" s="24"/>
      <c r="D14" s="7"/>
      <c r="E14" s="7"/>
      <c r="F14" s="7"/>
      <c r="G14" s="7"/>
      <c r="H14" s="7"/>
      <c r="I14" s="6"/>
    </row>
    <row r="15" spans="1:9" x14ac:dyDescent="0.3">
      <c r="A15" s="25"/>
      <c r="B15" s="10"/>
      <c r="C15" s="24"/>
      <c r="D15" s="11"/>
      <c r="E15" s="11"/>
      <c r="F15" s="11"/>
      <c r="G15" s="7"/>
      <c r="H15" s="7"/>
      <c r="I15" s="10"/>
    </row>
    <row r="16" spans="1:9" x14ac:dyDescent="0.3">
      <c r="A16" s="23"/>
      <c r="B16" s="6"/>
      <c r="C16" s="24"/>
      <c r="D16" s="7"/>
      <c r="E16" s="7"/>
      <c r="F16" s="7"/>
      <c r="G16" s="7"/>
      <c r="H16" s="7"/>
      <c r="I16" s="6"/>
    </row>
    <row r="17" spans="1:9" x14ac:dyDescent="0.3">
      <c r="A17" s="25"/>
      <c r="B17" s="10"/>
      <c r="C17" s="24"/>
      <c r="D17" s="11"/>
      <c r="E17" s="11"/>
      <c r="F17" s="11"/>
      <c r="G17" s="7"/>
      <c r="H17" s="7"/>
      <c r="I17" s="10"/>
    </row>
    <row r="18" spans="1:9" x14ac:dyDescent="0.3">
      <c r="A18" s="23"/>
      <c r="B18" s="6"/>
      <c r="C18" s="24"/>
      <c r="D18" s="7"/>
      <c r="E18" s="7"/>
      <c r="F18" s="7"/>
      <c r="G18" s="7"/>
      <c r="H18" s="7"/>
      <c r="I18" s="6"/>
    </row>
    <row r="19" spans="1:9" x14ac:dyDescent="0.3">
      <c r="A19" s="25"/>
      <c r="B19" s="10"/>
      <c r="C19" s="24"/>
      <c r="D19" s="11"/>
      <c r="E19" s="11"/>
      <c r="F19" s="11"/>
      <c r="G19" s="7"/>
      <c r="H19" s="7"/>
      <c r="I19" s="10"/>
    </row>
    <row r="20" spans="1:9" x14ac:dyDescent="0.3">
      <c r="A20" s="23"/>
      <c r="B20" s="6"/>
      <c r="C20" s="24"/>
      <c r="D20" s="7"/>
      <c r="E20" s="7"/>
      <c r="F20" s="7"/>
      <c r="G20" s="7"/>
      <c r="H20" s="7"/>
      <c r="I20" s="6"/>
    </row>
    <row r="21" spans="1:9" x14ac:dyDescent="0.3">
      <c r="A21" s="25"/>
      <c r="B21" s="10"/>
      <c r="C21" s="24"/>
      <c r="D21" s="11"/>
      <c r="E21" s="11"/>
      <c r="F21" s="11"/>
      <c r="G21" s="7"/>
      <c r="H21" s="7"/>
      <c r="I21" s="10"/>
    </row>
    <row r="22" spans="1:9" x14ac:dyDescent="0.3">
      <c r="A22" s="23"/>
      <c r="B22" s="6"/>
      <c r="C22" s="24"/>
      <c r="D22" s="7"/>
      <c r="E22" s="7"/>
      <c r="F22" s="7"/>
      <c r="G22" s="7"/>
      <c r="H22" s="7"/>
      <c r="I22" s="6"/>
    </row>
    <row r="23" spans="1:9" x14ac:dyDescent="0.3">
      <c r="A23" s="25"/>
      <c r="B23" s="10"/>
      <c r="C23" s="24"/>
      <c r="D23" s="11"/>
      <c r="E23" s="11"/>
      <c r="F23" s="11"/>
      <c r="G23" s="7"/>
      <c r="H23" s="7"/>
      <c r="I23" s="10"/>
    </row>
    <row r="24" spans="1:9" x14ac:dyDescent="0.3">
      <c r="A24" s="23"/>
      <c r="B24" s="6"/>
      <c r="C24" s="24"/>
      <c r="D24" s="7"/>
      <c r="E24" s="7"/>
      <c r="F24" s="7"/>
      <c r="G24" s="7"/>
      <c r="H24" s="7"/>
      <c r="I24" s="6"/>
    </row>
    <row r="25" spans="1:9" x14ac:dyDescent="0.3">
      <c r="A25" s="25"/>
      <c r="B25" s="10"/>
      <c r="C25" s="24"/>
      <c r="D25" s="11"/>
      <c r="E25" s="11"/>
      <c r="F25" s="11"/>
      <c r="G25" s="7"/>
      <c r="H25" s="7"/>
      <c r="I25" s="10"/>
    </row>
    <row r="26" spans="1:9" x14ac:dyDescent="0.3">
      <c r="A26" s="23"/>
      <c r="B26" s="6"/>
      <c r="C26" s="24"/>
      <c r="D26" s="7"/>
      <c r="E26" s="7"/>
      <c r="F26" s="7"/>
      <c r="G26" s="7"/>
      <c r="H26" s="7"/>
      <c r="I26" s="6"/>
    </row>
    <row r="27" spans="1:9" x14ac:dyDescent="0.3">
      <c r="A27" s="25"/>
      <c r="B27" s="10"/>
      <c r="C27" s="24"/>
      <c r="D27" s="11"/>
      <c r="E27" s="11"/>
      <c r="F27" s="11"/>
      <c r="G27" s="7"/>
      <c r="H27" s="7"/>
      <c r="I27" s="10"/>
    </row>
    <row r="28" spans="1:9" x14ac:dyDescent="0.3">
      <c r="A28" s="23"/>
      <c r="B28" s="6"/>
      <c r="C28" s="24"/>
      <c r="D28" s="7"/>
      <c r="E28" s="7"/>
      <c r="F28" s="7"/>
      <c r="G28" s="7"/>
      <c r="H28" s="7"/>
      <c r="I28" s="6"/>
    </row>
    <row r="29" spans="1:9" x14ac:dyDescent="0.3">
      <c r="A29" s="25"/>
      <c r="B29" s="10"/>
      <c r="C29" s="24"/>
      <c r="D29" s="11"/>
      <c r="E29" s="11"/>
      <c r="F29" s="11"/>
      <c r="G29" s="7"/>
      <c r="H29" s="7"/>
      <c r="I29" s="10"/>
    </row>
    <row r="30" spans="1:9" x14ac:dyDescent="0.3">
      <c r="A30" s="23"/>
      <c r="B30" s="6"/>
      <c r="C30" s="24"/>
      <c r="D30" s="7"/>
      <c r="E30" s="7"/>
      <c r="F30" s="7"/>
      <c r="G30" s="7"/>
      <c r="H30" s="7"/>
      <c r="I30" s="6"/>
    </row>
    <row r="31" spans="1:9" x14ac:dyDescent="0.3">
      <c r="A31" s="25"/>
      <c r="B31" s="10"/>
      <c r="C31" s="24"/>
      <c r="D31" s="11"/>
      <c r="E31" s="11"/>
      <c r="F31" s="11"/>
      <c r="G31" s="7"/>
      <c r="H31" s="7"/>
      <c r="I31" s="10"/>
    </row>
    <row r="32" spans="1:9" x14ac:dyDescent="0.3">
      <c r="A32" s="23"/>
      <c r="B32" s="6"/>
      <c r="C32" s="24"/>
      <c r="D32" s="7"/>
      <c r="E32" s="7"/>
      <c r="F32" s="7"/>
      <c r="G32" s="7"/>
      <c r="H32" s="7"/>
      <c r="I32" s="6"/>
    </row>
    <row r="33" spans="1:9" x14ac:dyDescent="0.3">
      <c r="A33" s="25"/>
      <c r="B33" s="10"/>
      <c r="C33" s="24"/>
      <c r="D33" s="11"/>
      <c r="E33" s="11"/>
      <c r="F33" s="11"/>
      <c r="G33" s="7"/>
      <c r="H33" s="7"/>
      <c r="I33" s="10"/>
    </row>
    <row r="34" spans="1:9" x14ac:dyDescent="0.3">
      <c r="A34" s="23"/>
      <c r="B34" s="6"/>
      <c r="C34" s="24"/>
      <c r="D34" s="7"/>
      <c r="E34" s="7"/>
      <c r="F34" s="7"/>
      <c r="G34" s="7"/>
      <c r="H34" s="7"/>
      <c r="I34" s="6"/>
    </row>
    <row r="35" spans="1:9" x14ac:dyDescent="0.3">
      <c r="A35" s="25"/>
      <c r="B35" s="10"/>
      <c r="C35" s="24"/>
      <c r="D35" s="11"/>
      <c r="E35" s="11"/>
      <c r="F35" s="11"/>
      <c r="G35" s="7"/>
      <c r="H35" s="7"/>
      <c r="I35" s="10"/>
    </row>
    <row r="36" spans="1:9" x14ac:dyDescent="0.3">
      <c r="A36" s="23"/>
      <c r="B36" s="6"/>
      <c r="C36" s="24"/>
      <c r="D36" s="7"/>
      <c r="E36" s="7"/>
      <c r="F36" s="7"/>
      <c r="G36" s="7"/>
      <c r="H36" s="7"/>
      <c r="I36" s="6"/>
    </row>
    <row r="37" spans="1:9" x14ac:dyDescent="0.3">
      <c r="A37" s="25"/>
      <c r="B37" s="10"/>
      <c r="C37" s="24"/>
      <c r="D37" s="11"/>
      <c r="E37" s="11"/>
      <c r="F37" s="11"/>
      <c r="G37" s="7"/>
      <c r="H37" s="7"/>
      <c r="I37" s="10"/>
    </row>
    <row r="38" spans="1:9" x14ac:dyDescent="0.3">
      <c r="A38" s="23"/>
      <c r="B38" s="6"/>
      <c r="C38" s="24"/>
      <c r="D38" s="7"/>
      <c r="E38" s="7"/>
      <c r="F38" s="7"/>
      <c r="G38" s="7"/>
      <c r="H38" s="7"/>
      <c r="I38" s="6"/>
    </row>
    <row r="39" spans="1:9" x14ac:dyDescent="0.3">
      <c r="A39" s="25"/>
      <c r="B39" s="10"/>
      <c r="C39" s="26"/>
      <c r="D39" s="11"/>
      <c r="E39" s="11"/>
      <c r="F39" s="11"/>
      <c r="G39" s="7"/>
      <c r="H39" s="7"/>
      <c r="I39" s="10"/>
    </row>
    <row r="40" spans="1:9" x14ac:dyDescent="0.3">
      <c r="A40" s="23"/>
      <c r="B40" s="6"/>
      <c r="C40" s="26"/>
      <c r="D40" s="7"/>
      <c r="E40" s="7"/>
      <c r="F40" s="7"/>
      <c r="G40" s="7"/>
      <c r="H40" s="7"/>
      <c r="I40" s="6"/>
    </row>
    <row r="41" spans="1:9" x14ac:dyDescent="0.3">
      <c r="A41" s="25"/>
      <c r="B41" s="10"/>
      <c r="C41" s="26"/>
      <c r="D41" s="11"/>
      <c r="E41" s="11"/>
      <c r="F41" s="11"/>
      <c r="G41" s="7"/>
      <c r="H41" s="7"/>
      <c r="I41" s="10"/>
    </row>
    <row r="42" spans="1:9" x14ac:dyDescent="0.3">
      <c r="A42" s="23"/>
      <c r="B42" s="6"/>
      <c r="C42" s="26"/>
      <c r="D42" s="7"/>
      <c r="E42" s="7"/>
      <c r="F42" s="7"/>
      <c r="G42" s="7"/>
      <c r="H42" s="7"/>
      <c r="I42" s="6"/>
    </row>
    <row r="43" spans="1:9" x14ac:dyDescent="0.3">
      <c r="A43" s="25"/>
      <c r="B43" s="10"/>
      <c r="C43" s="26"/>
      <c r="D43" s="11"/>
      <c r="E43" s="11"/>
      <c r="F43" s="11"/>
      <c r="G43" s="7"/>
      <c r="H43" s="7"/>
      <c r="I43" s="10"/>
    </row>
    <row r="44" spans="1:9" x14ac:dyDescent="0.3">
      <c r="A44" s="23"/>
      <c r="B44" s="6"/>
      <c r="C44" s="26"/>
      <c r="D44" s="7"/>
      <c r="E44" s="7"/>
      <c r="F44" s="7"/>
      <c r="G44" s="7"/>
      <c r="H44" s="7"/>
      <c r="I44" s="6"/>
    </row>
    <row r="45" spans="1:9" x14ac:dyDescent="0.3">
      <c r="A45" s="25"/>
      <c r="B45" s="10"/>
      <c r="C45" s="26"/>
      <c r="D45" s="11"/>
      <c r="E45" s="11"/>
      <c r="F45" s="11"/>
      <c r="G45" s="7"/>
      <c r="H45" s="7"/>
      <c r="I45" s="10"/>
    </row>
    <row r="46" spans="1:9" x14ac:dyDescent="0.3">
      <c r="A46" s="23"/>
      <c r="B46" s="6"/>
      <c r="C46" s="24"/>
      <c r="D46" s="7"/>
      <c r="E46" s="7"/>
      <c r="F46" s="7"/>
      <c r="G46" s="7"/>
      <c r="H46" s="7"/>
      <c r="I46" s="6"/>
    </row>
    <row r="47" spans="1:9" x14ac:dyDescent="0.3">
      <c r="A47" s="25"/>
      <c r="B47" s="10"/>
      <c r="C47" s="24"/>
      <c r="D47" s="11"/>
      <c r="E47" s="11"/>
      <c r="F47" s="11"/>
      <c r="G47" s="7"/>
      <c r="H47" s="7"/>
      <c r="I47" s="10"/>
    </row>
    <row r="48" spans="1:9" x14ac:dyDescent="0.3">
      <c r="A48" s="23"/>
      <c r="B48" s="6"/>
      <c r="C48" s="24"/>
      <c r="D48" s="7"/>
      <c r="E48" s="7"/>
      <c r="F48" s="7"/>
      <c r="G48" s="7"/>
      <c r="H48" s="7"/>
      <c r="I48" s="6"/>
    </row>
    <row r="50" spans="2:5" x14ac:dyDescent="0.3">
      <c r="B50" s="27" t="s">
        <v>42</v>
      </c>
      <c r="E50" s="28">
        <f>SUM(E2:E48)</f>
        <v>3</v>
      </c>
    </row>
    <row r="51" spans="2:5" x14ac:dyDescent="0.3">
      <c r="B51" s="27" t="s">
        <v>43</v>
      </c>
      <c r="E51" s="28">
        <f>SUMIF(F2:F48,"Feito",E2:E48)</f>
        <v>0.5</v>
      </c>
    </row>
    <row r="55" spans="2:5" x14ac:dyDescent="0.3">
      <c r="B55" s="40" t="s">
        <v>78</v>
      </c>
    </row>
    <row r="56" spans="2:5" x14ac:dyDescent="0.3">
      <c r="B56" s="40" t="s">
        <v>79</v>
      </c>
    </row>
    <row r="57" spans="2:5" x14ac:dyDescent="0.3">
      <c r="B57" s="40" t="s">
        <v>80</v>
      </c>
    </row>
    <row r="58" spans="2:5" x14ac:dyDescent="0.3">
      <c r="B58" s="40" t="s">
        <v>81</v>
      </c>
    </row>
    <row r="59" spans="2:5" x14ac:dyDescent="0.3">
      <c r="B59" s="40" t="s">
        <v>82</v>
      </c>
    </row>
    <row r="60" spans="2:5" x14ac:dyDescent="0.3">
      <c r="B60" s="40"/>
    </row>
  </sheetData>
  <autoFilter ref="A1:I48" xr:uid="{00000000-0009-0000-0000-000002000000}"/>
  <dataValidations count="2">
    <dataValidation type="list" allowBlank="1" sqref="F2:F48" xr:uid="{00000000-0002-0000-0200-000000000000}">
      <formula1>"Backlog,A Fazer,Fazendo,Em Review,Feito"</formula1>
      <formula2>0</formula2>
    </dataValidation>
    <dataValidation type="list" allowBlank="1" sqref="G2:H48" xr:uid="{AB0A2AC1-B74E-47F6-B37C-84F8D2378617}">
      <formula1>$B$55:$B$59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2"/>
  <sheetViews>
    <sheetView zoomScaleNormal="100" workbookViewId="0">
      <pane ySplit="1" topLeftCell="A2" activePane="bottomLeft" state="frozen"/>
      <selection pane="bottomLeft" activeCell="H10" sqref="H10"/>
    </sheetView>
  </sheetViews>
  <sheetFormatPr defaultColWidth="8.6640625" defaultRowHeight="14.4" x14ac:dyDescent="0.3"/>
  <cols>
    <col min="1" max="1" width="9" customWidth="1"/>
    <col min="2" max="2" width="50" customWidth="1"/>
    <col min="3" max="3" width="10" customWidth="1"/>
    <col min="4" max="4" width="7" customWidth="1"/>
    <col min="5" max="5" width="10" customWidth="1"/>
    <col min="6" max="6" width="12" customWidth="1"/>
    <col min="7" max="8" width="19.6640625" customWidth="1"/>
    <col min="9" max="9" width="28" customWidth="1"/>
  </cols>
  <sheetData>
    <row r="1" spans="1:9" ht="26.4" x14ac:dyDescent="0.3">
      <c r="A1" s="30" t="s">
        <v>32</v>
      </c>
      <c r="B1" s="30" t="s">
        <v>33</v>
      </c>
      <c r="C1" s="30" t="s">
        <v>34</v>
      </c>
      <c r="D1" s="30" t="s">
        <v>35</v>
      </c>
      <c r="E1" s="30" t="s">
        <v>36</v>
      </c>
      <c r="F1" s="30" t="s">
        <v>37</v>
      </c>
      <c r="G1" s="52" t="s">
        <v>57</v>
      </c>
      <c r="H1" s="52" t="s">
        <v>58</v>
      </c>
      <c r="I1" s="30" t="s">
        <v>38</v>
      </c>
    </row>
    <row r="2" spans="1:9" x14ac:dyDescent="0.3">
      <c r="A2" s="34" t="s">
        <v>44</v>
      </c>
      <c r="B2" s="42" t="s">
        <v>53</v>
      </c>
      <c r="C2" s="43" t="s">
        <v>39</v>
      </c>
      <c r="D2" s="44">
        <v>1</v>
      </c>
      <c r="E2" s="44">
        <v>0.5</v>
      </c>
      <c r="F2" s="7" t="s">
        <v>40</v>
      </c>
      <c r="G2" s="7" t="s">
        <v>76</v>
      </c>
      <c r="H2" s="7"/>
      <c r="I2" s="41" t="s">
        <v>77</v>
      </c>
    </row>
    <row r="3" spans="1:9" x14ac:dyDescent="0.3">
      <c r="A3" s="45" t="s">
        <v>45</v>
      </c>
      <c r="B3" s="46" t="s">
        <v>54</v>
      </c>
      <c r="C3" s="47" t="s">
        <v>39</v>
      </c>
      <c r="D3" s="48">
        <v>1</v>
      </c>
      <c r="E3" s="48">
        <v>0.5</v>
      </c>
      <c r="F3" s="11" t="s">
        <v>40</v>
      </c>
      <c r="G3" s="7" t="s">
        <v>75</v>
      </c>
      <c r="H3" s="7"/>
      <c r="I3" s="41" t="s">
        <v>77</v>
      </c>
    </row>
    <row r="4" spans="1:9" x14ac:dyDescent="0.3">
      <c r="A4" s="49" t="s">
        <v>46</v>
      </c>
      <c r="B4" s="50" t="s">
        <v>55</v>
      </c>
      <c r="C4" s="47" t="s">
        <v>39</v>
      </c>
      <c r="D4" s="51">
        <v>1</v>
      </c>
      <c r="E4" s="51">
        <v>1</v>
      </c>
      <c r="F4" s="7" t="s">
        <v>40</v>
      </c>
      <c r="G4" s="7" t="s">
        <v>71</v>
      </c>
      <c r="H4" s="7" t="s">
        <v>74</v>
      </c>
      <c r="I4" s="41" t="s">
        <v>69</v>
      </c>
    </row>
    <row r="5" spans="1:9" x14ac:dyDescent="0.3">
      <c r="A5" s="45" t="s">
        <v>47</v>
      </c>
      <c r="B5" s="46" t="s">
        <v>56</v>
      </c>
      <c r="C5" s="47" t="s">
        <v>39</v>
      </c>
      <c r="D5" s="48">
        <v>1</v>
      </c>
      <c r="E5" s="48">
        <v>1</v>
      </c>
      <c r="F5" s="11" t="s">
        <v>40</v>
      </c>
      <c r="G5" s="7" t="s">
        <v>73</v>
      </c>
      <c r="H5" s="7"/>
      <c r="I5" s="39" t="s">
        <v>70</v>
      </c>
    </row>
    <row r="6" spans="1:9" x14ac:dyDescent="0.3">
      <c r="A6" s="23"/>
      <c r="B6" s="6"/>
      <c r="C6" s="24"/>
      <c r="D6" s="7"/>
      <c r="E6" s="7"/>
      <c r="F6" s="7"/>
      <c r="G6" s="7"/>
      <c r="H6" s="7"/>
      <c r="I6" s="6"/>
    </row>
    <row r="7" spans="1:9" x14ac:dyDescent="0.3">
      <c r="A7" s="25"/>
      <c r="B7" s="10"/>
      <c r="C7" s="24"/>
      <c r="D7" s="11"/>
      <c r="E7" s="11"/>
      <c r="F7" s="11"/>
      <c r="G7" s="7"/>
      <c r="H7" s="7"/>
      <c r="I7" s="10"/>
    </row>
    <row r="8" spans="1:9" x14ac:dyDescent="0.3">
      <c r="A8" s="23"/>
      <c r="B8" s="6"/>
      <c r="C8" s="24"/>
      <c r="D8" s="7"/>
      <c r="E8" s="7"/>
      <c r="F8" s="7"/>
      <c r="G8" s="7"/>
      <c r="H8" s="7"/>
      <c r="I8" s="6"/>
    </row>
    <row r="9" spans="1:9" x14ac:dyDescent="0.3">
      <c r="A9" s="25"/>
      <c r="B9" s="10"/>
      <c r="C9" s="24"/>
      <c r="D9" s="11"/>
      <c r="E9" s="11"/>
      <c r="F9" s="11"/>
      <c r="G9" s="7"/>
      <c r="H9" s="7"/>
      <c r="I9" s="10"/>
    </row>
    <row r="10" spans="1:9" x14ac:dyDescent="0.3">
      <c r="A10" s="23"/>
      <c r="B10" s="6"/>
      <c r="C10" s="24"/>
      <c r="D10" s="7"/>
      <c r="E10" s="7"/>
      <c r="F10" s="7"/>
      <c r="G10" s="7"/>
      <c r="H10" s="7"/>
      <c r="I10" s="6"/>
    </row>
    <row r="11" spans="1:9" x14ac:dyDescent="0.3">
      <c r="A11" s="25"/>
      <c r="B11" s="10"/>
      <c r="C11" s="24"/>
      <c r="D11" s="11"/>
      <c r="E11" s="11"/>
      <c r="F11" s="11"/>
      <c r="G11" s="7"/>
      <c r="H11" s="7"/>
      <c r="I11" s="10"/>
    </row>
    <row r="12" spans="1:9" x14ac:dyDescent="0.3">
      <c r="A12" s="23"/>
      <c r="B12" s="6"/>
      <c r="C12" s="24"/>
      <c r="D12" s="7"/>
      <c r="E12" s="7"/>
      <c r="F12" s="7"/>
      <c r="G12" s="7"/>
      <c r="H12" s="7"/>
      <c r="I12" s="6"/>
    </row>
    <row r="13" spans="1:9" x14ac:dyDescent="0.3">
      <c r="A13" s="25"/>
      <c r="B13" s="10"/>
      <c r="C13" s="24"/>
      <c r="D13" s="11"/>
      <c r="E13" s="11"/>
      <c r="F13" s="11"/>
      <c r="G13" s="7"/>
      <c r="H13" s="7"/>
      <c r="I13" s="10"/>
    </row>
    <row r="14" spans="1:9" x14ac:dyDescent="0.3">
      <c r="A14" s="23"/>
      <c r="B14" s="6"/>
      <c r="C14" s="24"/>
      <c r="D14" s="7"/>
      <c r="E14" s="7"/>
      <c r="F14" s="7"/>
      <c r="G14" s="7"/>
      <c r="H14" s="7"/>
      <c r="I14" s="6"/>
    </row>
    <row r="15" spans="1:9" x14ac:dyDescent="0.3">
      <c r="A15" s="25"/>
      <c r="B15" s="10"/>
      <c r="C15" s="24"/>
      <c r="D15" s="11"/>
      <c r="E15" s="11"/>
      <c r="F15" s="11"/>
      <c r="G15" s="7"/>
      <c r="H15" s="7"/>
      <c r="I15" s="10"/>
    </row>
    <row r="16" spans="1:9" x14ac:dyDescent="0.3">
      <c r="A16" s="23"/>
      <c r="B16" s="6"/>
      <c r="C16" s="24"/>
      <c r="D16" s="7"/>
      <c r="E16" s="7"/>
      <c r="F16" s="7"/>
      <c r="G16" s="7"/>
      <c r="H16" s="7"/>
      <c r="I16" s="6"/>
    </row>
    <row r="17" spans="1:9" x14ac:dyDescent="0.3">
      <c r="A17" s="25"/>
      <c r="B17" s="10"/>
      <c r="C17" s="24"/>
      <c r="D17" s="11"/>
      <c r="E17" s="11"/>
      <c r="F17" s="11"/>
      <c r="G17" s="7"/>
      <c r="H17" s="7"/>
      <c r="I17" s="10"/>
    </row>
    <row r="18" spans="1:9" x14ac:dyDescent="0.3">
      <c r="A18" s="23"/>
      <c r="B18" s="6"/>
      <c r="C18" s="24"/>
      <c r="D18" s="7"/>
      <c r="E18" s="7"/>
      <c r="F18" s="7"/>
      <c r="G18" s="7"/>
      <c r="H18" s="7"/>
      <c r="I18" s="6"/>
    </row>
    <row r="19" spans="1:9" x14ac:dyDescent="0.3">
      <c r="A19" s="25"/>
      <c r="B19" s="10"/>
      <c r="C19" s="24"/>
      <c r="D19" s="11"/>
      <c r="E19" s="11"/>
      <c r="F19" s="11"/>
      <c r="G19" s="7"/>
      <c r="H19" s="7"/>
      <c r="I19" s="10"/>
    </row>
    <row r="20" spans="1:9" x14ac:dyDescent="0.3">
      <c r="A20" s="23"/>
      <c r="B20" s="6"/>
      <c r="C20" s="24"/>
      <c r="D20" s="7"/>
      <c r="E20" s="7"/>
      <c r="F20" s="7"/>
      <c r="G20" s="7"/>
      <c r="H20" s="7"/>
      <c r="I20" s="6"/>
    </row>
    <row r="21" spans="1:9" x14ac:dyDescent="0.3">
      <c r="A21" s="25"/>
      <c r="B21" s="10"/>
      <c r="C21" s="24"/>
      <c r="D21" s="11"/>
      <c r="E21" s="11"/>
      <c r="F21" s="11"/>
      <c r="G21" s="7"/>
      <c r="H21" s="7"/>
      <c r="I21" s="10"/>
    </row>
    <row r="22" spans="1:9" x14ac:dyDescent="0.3">
      <c r="A22" s="23"/>
      <c r="B22" s="6"/>
      <c r="C22" s="24"/>
      <c r="D22" s="7"/>
      <c r="E22" s="7"/>
      <c r="F22" s="7"/>
      <c r="G22" s="7"/>
      <c r="H22" s="7"/>
      <c r="I22" s="6"/>
    </row>
    <row r="23" spans="1:9" x14ac:dyDescent="0.3">
      <c r="A23" s="25"/>
      <c r="B23" s="10"/>
      <c r="C23" s="24"/>
      <c r="D23" s="11"/>
      <c r="E23" s="11"/>
      <c r="F23" s="11"/>
      <c r="G23" s="7"/>
      <c r="H23" s="7"/>
      <c r="I23" s="10"/>
    </row>
    <row r="24" spans="1:9" x14ac:dyDescent="0.3">
      <c r="A24" s="23"/>
      <c r="B24" s="6"/>
      <c r="C24" s="24"/>
      <c r="D24" s="7"/>
      <c r="E24" s="7"/>
      <c r="F24" s="7"/>
      <c r="G24" s="7"/>
      <c r="H24" s="7"/>
      <c r="I24" s="6"/>
    </row>
    <row r="25" spans="1:9" x14ac:dyDescent="0.3">
      <c r="A25" s="25"/>
      <c r="B25" s="10"/>
      <c r="C25" s="24"/>
      <c r="D25" s="11"/>
      <c r="E25" s="11"/>
      <c r="F25" s="11"/>
      <c r="G25" s="7"/>
      <c r="H25" s="7"/>
      <c r="I25" s="10"/>
    </row>
    <row r="26" spans="1:9" x14ac:dyDescent="0.3">
      <c r="A26" s="23"/>
      <c r="B26" s="6"/>
      <c r="C26" s="24"/>
      <c r="D26" s="7"/>
      <c r="E26" s="7"/>
      <c r="F26" s="7"/>
      <c r="G26" s="7"/>
      <c r="H26" s="7"/>
      <c r="I26" s="6"/>
    </row>
    <row r="27" spans="1:9" x14ac:dyDescent="0.3">
      <c r="A27" s="25"/>
      <c r="B27" s="10"/>
      <c r="C27" s="24"/>
      <c r="D27" s="11"/>
      <c r="E27" s="11"/>
      <c r="F27" s="11"/>
      <c r="G27" s="7"/>
      <c r="H27" s="7"/>
      <c r="I27" s="10"/>
    </row>
    <row r="28" spans="1:9" x14ac:dyDescent="0.3">
      <c r="A28" s="23"/>
      <c r="B28" s="6"/>
      <c r="C28" s="24"/>
      <c r="D28" s="7"/>
      <c r="E28" s="7"/>
      <c r="F28" s="7"/>
      <c r="G28" s="7"/>
      <c r="H28" s="7"/>
      <c r="I28" s="6"/>
    </row>
    <row r="29" spans="1:9" x14ac:dyDescent="0.3">
      <c r="A29" s="25"/>
      <c r="B29" s="10"/>
      <c r="C29" s="24"/>
      <c r="D29" s="11"/>
      <c r="E29" s="11"/>
      <c r="F29" s="11"/>
      <c r="G29" s="7"/>
      <c r="H29" s="7"/>
      <c r="I29" s="10"/>
    </row>
    <row r="30" spans="1:9" x14ac:dyDescent="0.3">
      <c r="A30" s="23"/>
      <c r="B30" s="6"/>
      <c r="C30" s="24"/>
      <c r="D30" s="7"/>
      <c r="E30" s="7"/>
      <c r="F30" s="7"/>
      <c r="G30" s="7"/>
      <c r="H30" s="7"/>
      <c r="I30" s="6"/>
    </row>
    <row r="31" spans="1:9" x14ac:dyDescent="0.3">
      <c r="A31" s="25"/>
      <c r="B31" s="10"/>
      <c r="C31" s="24"/>
      <c r="D31" s="11"/>
      <c r="E31" s="11"/>
      <c r="F31" s="11"/>
      <c r="G31" s="7"/>
      <c r="H31" s="7"/>
      <c r="I31" s="10"/>
    </row>
    <row r="32" spans="1:9" x14ac:dyDescent="0.3">
      <c r="A32" s="23"/>
      <c r="B32" s="6"/>
      <c r="C32" s="24"/>
      <c r="D32" s="7"/>
      <c r="E32" s="7"/>
      <c r="F32" s="7"/>
      <c r="G32" s="7"/>
      <c r="H32" s="7"/>
      <c r="I32" s="6"/>
    </row>
    <row r="33" spans="1:9" x14ac:dyDescent="0.3">
      <c r="A33" s="25"/>
      <c r="B33" s="10"/>
      <c r="C33" s="24"/>
      <c r="D33" s="11"/>
      <c r="E33" s="11"/>
      <c r="F33" s="11"/>
      <c r="G33" s="7"/>
      <c r="H33" s="7"/>
      <c r="I33" s="10"/>
    </row>
    <row r="34" spans="1:9" x14ac:dyDescent="0.3">
      <c r="A34" s="23"/>
      <c r="B34" s="6"/>
      <c r="C34" s="24"/>
      <c r="D34" s="7"/>
      <c r="E34" s="7"/>
      <c r="F34" s="7"/>
      <c r="G34" s="7"/>
      <c r="H34" s="7"/>
      <c r="I34" s="6"/>
    </row>
    <row r="35" spans="1:9" x14ac:dyDescent="0.3">
      <c r="A35" s="25"/>
      <c r="B35" s="10"/>
      <c r="C35" s="24"/>
      <c r="D35" s="11"/>
      <c r="E35" s="11"/>
      <c r="F35" s="11"/>
      <c r="G35" s="7"/>
      <c r="H35" s="7"/>
      <c r="I35" s="10"/>
    </row>
    <row r="36" spans="1:9" x14ac:dyDescent="0.3">
      <c r="A36" s="23"/>
      <c r="B36" s="6"/>
      <c r="C36" s="24"/>
      <c r="D36" s="7"/>
      <c r="E36" s="7"/>
      <c r="F36" s="7"/>
      <c r="G36" s="7"/>
      <c r="H36" s="7"/>
      <c r="I36" s="6"/>
    </row>
    <row r="37" spans="1:9" x14ac:dyDescent="0.3">
      <c r="A37" s="25"/>
      <c r="B37" s="10"/>
      <c r="C37" s="24"/>
      <c r="D37" s="11"/>
      <c r="E37" s="11"/>
      <c r="F37" s="11"/>
      <c r="G37" s="7"/>
      <c r="H37" s="7"/>
      <c r="I37" s="10"/>
    </row>
    <row r="38" spans="1:9" x14ac:dyDescent="0.3">
      <c r="A38" s="23"/>
      <c r="B38" s="6"/>
      <c r="C38" s="24"/>
      <c r="D38" s="7"/>
      <c r="E38" s="7"/>
      <c r="F38" s="7"/>
      <c r="G38" s="7"/>
      <c r="H38" s="7"/>
      <c r="I38" s="6"/>
    </row>
    <row r="39" spans="1:9" x14ac:dyDescent="0.3">
      <c r="A39" s="25"/>
      <c r="B39" s="10"/>
      <c r="C39" s="26"/>
      <c r="D39" s="11"/>
      <c r="E39" s="11"/>
      <c r="F39" s="11"/>
      <c r="G39" s="7"/>
      <c r="H39" s="7"/>
      <c r="I39" s="10"/>
    </row>
    <row r="40" spans="1:9" x14ac:dyDescent="0.3">
      <c r="A40" s="23"/>
      <c r="B40" s="6"/>
      <c r="C40" s="26"/>
      <c r="D40" s="7"/>
      <c r="E40" s="7"/>
      <c r="F40" s="7"/>
      <c r="G40" s="7"/>
      <c r="H40" s="7"/>
      <c r="I40" s="6"/>
    </row>
    <row r="41" spans="1:9" x14ac:dyDescent="0.3">
      <c r="A41" s="25"/>
      <c r="B41" s="10"/>
      <c r="C41" s="26"/>
      <c r="D41" s="11"/>
      <c r="E41" s="11"/>
      <c r="F41" s="11"/>
      <c r="G41" s="7"/>
      <c r="H41" s="7"/>
      <c r="I41" s="10"/>
    </row>
    <row r="42" spans="1:9" x14ac:dyDescent="0.3">
      <c r="A42" s="23"/>
      <c r="B42" s="6"/>
      <c r="C42" s="26"/>
      <c r="D42" s="7"/>
      <c r="E42" s="7"/>
      <c r="F42" s="7"/>
      <c r="G42" s="7"/>
      <c r="H42" s="7"/>
      <c r="I42" s="6"/>
    </row>
    <row r="43" spans="1:9" x14ac:dyDescent="0.3">
      <c r="A43" s="25"/>
      <c r="B43" s="10"/>
      <c r="C43" s="26"/>
      <c r="D43" s="11"/>
      <c r="E43" s="11"/>
      <c r="F43" s="11"/>
      <c r="G43" s="7"/>
      <c r="H43" s="7"/>
      <c r="I43" s="10"/>
    </row>
    <row r="44" spans="1:9" x14ac:dyDescent="0.3">
      <c r="A44" s="23"/>
      <c r="B44" s="6"/>
      <c r="C44" s="26"/>
      <c r="D44" s="7"/>
      <c r="E44" s="7"/>
      <c r="F44" s="7"/>
      <c r="G44" s="7"/>
      <c r="H44" s="7"/>
      <c r="I44" s="6"/>
    </row>
    <row r="45" spans="1:9" x14ac:dyDescent="0.3">
      <c r="A45" s="25"/>
      <c r="B45" s="10"/>
      <c r="C45" s="26"/>
      <c r="D45" s="11"/>
      <c r="E45" s="11"/>
      <c r="F45" s="11"/>
      <c r="G45" s="7"/>
      <c r="H45" s="7"/>
      <c r="I45" s="10"/>
    </row>
    <row r="46" spans="1:9" x14ac:dyDescent="0.3">
      <c r="A46" s="23"/>
      <c r="B46" s="6"/>
      <c r="C46" s="26"/>
      <c r="D46" s="7"/>
      <c r="E46" s="7"/>
      <c r="F46" s="7"/>
      <c r="G46" s="7"/>
      <c r="H46" s="7"/>
      <c r="I46" s="6"/>
    </row>
    <row r="47" spans="1:9" x14ac:dyDescent="0.3">
      <c r="A47" s="25"/>
      <c r="B47" s="10"/>
      <c r="C47" s="26"/>
      <c r="D47" s="11"/>
      <c r="E47" s="11"/>
      <c r="F47" s="11"/>
      <c r="G47" s="7"/>
      <c r="H47" s="7"/>
      <c r="I47" s="10"/>
    </row>
    <row r="48" spans="1:9" x14ac:dyDescent="0.3">
      <c r="A48" s="23"/>
      <c r="B48" s="6"/>
      <c r="C48" s="24"/>
      <c r="D48" s="7"/>
      <c r="E48" s="7"/>
      <c r="F48" s="7"/>
      <c r="G48" s="7"/>
      <c r="H48" s="7"/>
      <c r="I48" s="6"/>
    </row>
    <row r="49" spans="1:9" x14ac:dyDescent="0.3">
      <c r="A49" s="25"/>
      <c r="B49" s="10"/>
      <c r="C49" s="24"/>
      <c r="D49" s="11"/>
      <c r="E49" s="11"/>
      <c r="F49" s="11"/>
      <c r="G49" s="7"/>
      <c r="H49" s="7"/>
      <c r="I49" s="10"/>
    </row>
    <row r="51" spans="1:9" x14ac:dyDescent="0.3">
      <c r="B51" s="27" t="s">
        <v>42</v>
      </c>
      <c r="E51" s="28">
        <f>SUM(E2:E49)</f>
        <v>3</v>
      </c>
    </row>
    <row r="52" spans="1:9" x14ac:dyDescent="0.3">
      <c r="B52" s="27" t="s">
        <v>43</v>
      </c>
      <c r="E52" s="28">
        <f>SUMIF(F2:F49,"Feito",E2:E49)</f>
        <v>0</v>
      </c>
    </row>
    <row r="56" spans="1:9" x14ac:dyDescent="0.3">
      <c r="B56" s="40" t="s">
        <v>71</v>
      </c>
    </row>
    <row r="57" spans="1:9" x14ac:dyDescent="0.3">
      <c r="B57" s="40" t="s">
        <v>73</v>
      </c>
    </row>
    <row r="58" spans="1:9" x14ac:dyDescent="0.3">
      <c r="B58" s="40" t="s">
        <v>74</v>
      </c>
    </row>
    <row r="59" spans="1:9" x14ac:dyDescent="0.3">
      <c r="B59" s="40" t="s">
        <v>75</v>
      </c>
    </row>
    <row r="60" spans="1:9" x14ac:dyDescent="0.3">
      <c r="B60" s="40" t="s">
        <v>76</v>
      </c>
    </row>
    <row r="61" spans="1:9" x14ac:dyDescent="0.3">
      <c r="B61" s="40" t="s">
        <v>72</v>
      </c>
    </row>
    <row r="62" spans="1:9" x14ac:dyDescent="0.3">
      <c r="B62" s="40"/>
    </row>
  </sheetData>
  <autoFilter ref="A1:I49" xr:uid="{00000000-0009-0000-0000-000003000000}"/>
  <dataValidations count="2">
    <dataValidation type="list" allowBlank="1" sqref="F2:F49" xr:uid="{00000000-0002-0000-0300-000000000000}">
      <formula1>"Backlog,A Fazer,Fazendo,Em Review,Feito"</formula1>
      <formula2>0</formula2>
    </dataValidation>
    <dataValidation type="list" allowBlank="1" sqref="G2:H49" xr:uid="{A1D7C176-E8AC-4749-AF2F-5D5EBF60CEBB}">
      <formula1>$B$56:$B$61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"/>
  <sheetViews>
    <sheetView zoomScaleNormal="100" workbookViewId="0">
      <pane ySplit="1" topLeftCell="A12" activePane="bottomLeft" state="frozen"/>
      <selection pane="bottomLeft" activeCell="E6" sqref="E6:F47"/>
    </sheetView>
  </sheetViews>
  <sheetFormatPr defaultColWidth="8.6640625" defaultRowHeight="14.4" x14ac:dyDescent="0.3"/>
  <cols>
    <col min="1" max="1" width="9" customWidth="1"/>
    <col min="2" max="2" width="50" customWidth="1"/>
    <col min="3" max="3" width="10" customWidth="1"/>
    <col min="4" max="4" width="7" customWidth="1"/>
    <col min="5" max="5" width="10" customWidth="1"/>
    <col min="6" max="6" width="12" customWidth="1"/>
    <col min="7" max="8" width="19" customWidth="1"/>
    <col min="9" max="9" width="28" customWidth="1"/>
  </cols>
  <sheetData>
    <row r="1" spans="1:9" ht="26.4" x14ac:dyDescent="0.3">
      <c r="A1" s="31" t="s">
        <v>32</v>
      </c>
      <c r="B1" s="31" t="s">
        <v>33</v>
      </c>
      <c r="C1" s="31" t="s">
        <v>34</v>
      </c>
      <c r="D1" s="31" t="s">
        <v>35</v>
      </c>
      <c r="E1" s="31" t="s">
        <v>36</v>
      </c>
      <c r="F1" s="31" t="s">
        <v>37</v>
      </c>
      <c r="G1" s="53" t="s">
        <v>57</v>
      </c>
      <c r="H1" s="53" t="s">
        <v>58</v>
      </c>
      <c r="I1" s="31" t="s">
        <v>38</v>
      </c>
    </row>
    <row r="2" spans="1:9" x14ac:dyDescent="0.3">
      <c r="A2" s="34" t="s">
        <v>44</v>
      </c>
      <c r="B2" s="42" t="s">
        <v>53</v>
      </c>
      <c r="C2" s="43" t="s">
        <v>39</v>
      </c>
      <c r="D2" s="44">
        <v>1</v>
      </c>
      <c r="E2" s="44">
        <v>0.5</v>
      </c>
      <c r="F2" s="7" t="s">
        <v>6</v>
      </c>
      <c r="G2" s="7" t="s">
        <v>68</v>
      </c>
      <c r="H2" s="7"/>
      <c r="I2" s="6"/>
    </row>
    <row r="3" spans="1:9" x14ac:dyDescent="0.3">
      <c r="A3" s="45" t="s">
        <v>45</v>
      </c>
      <c r="B3" s="46" t="s">
        <v>54</v>
      </c>
      <c r="C3" s="47" t="s">
        <v>39</v>
      </c>
      <c r="D3" s="48">
        <v>1</v>
      </c>
      <c r="E3" s="48">
        <v>0.5</v>
      </c>
      <c r="F3" s="11" t="s">
        <v>6</v>
      </c>
      <c r="G3" s="7" t="s">
        <v>68</v>
      </c>
      <c r="H3" s="7"/>
      <c r="I3" s="10"/>
    </row>
    <row r="4" spans="1:9" x14ac:dyDescent="0.3">
      <c r="A4" s="49" t="s">
        <v>46</v>
      </c>
      <c r="B4" s="50" t="s">
        <v>55</v>
      </c>
      <c r="C4" s="47" t="s">
        <v>39</v>
      </c>
      <c r="D4" s="51">
        <v>1</v>
      </c>
      <c r="E4" s="51">
        <v>1</v>
      </c>
      <c r="F4" s="7" t="s">
        <v>40</v>
      </c>
      <c r="G4" s="7" t="s">
        <v>66</v>
      </c>
      <c r="H4" s="7"/>
      <c r="I4" s="41" t="s">
        <v>69</v>
      </c>
    </row>
    <row r="5" spans="1:9" x14ac:dyDescent="0.3">
      <c r="A5" s="45" t="s">
        <v>47</v>
      </c>
      <c r="B5" s="46" t="s">
        <v>56</v>
      </c>
      <c r="C5" s="47" t="s">
        <v>39</v>
      </c>
      <c r="D5" s="48">
        <v>1</v>
      </c>
      <c r="E5" s="48">
        <v>1</v>
      </c>
      <c r="F5" s="11" t="s">
        <v>40</v>
      </c>
      <c r="G5" s="7" t="s">
        <v>65</v>
      </c>
      <c r="H5" s="7"/>
      <c r="I5" s="39" t="s">
        <v>70</v>
      </c>
    </row>
    <row r="6" spans="1:9" x14ac:dyDescent="0.3">
      <c r="A6" s="23"/>
      <c r="B6" s="6"/>
      <c r="C6" s="24"/>
      <c r="D6" s="7"/>
      <c r="E6" s="7"/>
      <c r="F6" s="7"/>
      <c r="G6" s="7"/>
      <c r="H6" s="7"/>
      <c r="I6" s="6"/>
    </row>
    <row r="7" spans="1:9" x14ac:dyDescent="0.3">
      <c r="A7" s="25"/>
      <c r="B7" s="10"/>
      <c r="C7" s="24"/>
      <c r="D7" s="11"/>
      <c r="E7" s="11"/>
      <c r="F7" s="11"/>
      <c r="G7" s="7"/>
      <c r="H7" s="7"/>
      <c r="I7" s="10"/>
    </row>
    <row r="8" spans="1:9" x14ac:dyDescent="0.3">
      <c r="A8" s="23"/>
      <c r="B8" s="6"/>
      <c r="C8" s="24"/>
      <c r="D8" s="7"/>
      <c r="E8" s="7"/>
      <c r="F8" s="7"/>
      <c r="G8" s="7"/>
      <c r="H8" s="7"/>
      <c r="I8" s="6"/>
    </row>
    <row r="9" spans="1:9" x14ac:dyDescent="0.3">
      <c r="A9" s="25"/>
      <c r="B9" s="10"/>
      <c r="C9" s="24"/>
      <c r="D9" s="11"/>
      <c r="E9" s="11"/>
      <c r="F9" s="11"/>
      <c r="G9" s="7"/>
      <c r="H9" s="7"/>
      <c r="I9" s="10"/>
    </row>
    <row r="10" spans="1:9" x14ac:dyDescent="0.3">
      <c r="A10" s="23"/>
      <c r="B10" s="6"/>
      <c r="C10" s="24"/>
      <c r="D10" s="7"/>
      <c r="E10" s="7"/>
      <c r="F10" s="7"/>
      <c r="G10" s="7"/>
      <c r="H10" s="7"/>
      <c r="I10" s="6"/>
    </row>
    <row r="11" spans="1:9" x14ac:dyDescent="0.3">
      <c r="A11" s="25"/>
      <c r="B11" s="10"/>
      <c r="C11" s="24"/>
      <c r="D11" s="11"/>
      <c r="E11" s="11"/>
      <c r="F11" s="11"/>
      <c r="G11" s="7"/>
      <c r="H11" s="7"/>
      <c r="I11" s="10"/>
    </row>
    <row r="12" spans="1:9" x14ac:dyDescent="0.3">
      <c r="A12" s="23"/>
      <c r="B12" s="6"/>
      <c r="C12" s="24"/>
      <c r="D12" s="7"/>
      <c r="E12" s="7"/>
      <c r="F12" s="7"/>
      <c r="G12" s="7"/>
      <c r="H12" s="7"/>
      <c r="I12" s="6"/>
    </row>
    <row r="13" spans="1:9" x14ac:dyDescent="0.3">
      <c r="A13" s="25"/>
      <c r="B13" s="10"/>
      <c r="C13" s="24"/>
      <c r="D13" s="11"/>
      <c r="E13" s="11"/>
      <c r="F13" s="11"/>
      <c r="G13" s="7"/>
      <c r="H13" s="7"/>
      <c r="I13" s="10"/>
    </row>
    <row r="14" spans="1:9" x14ac:dyDescent="0.3">
      <c r="A14" s="23"/>
      <c r="B14" s="6"/>
      <c r="C14" s="24"/>
      <c r="D14" s="7"/>
      <c r="E14" s="7"/>
      <c r="F14" s="7"/>
      <c r="G14" s="7"/>
      <c r="H14" s="7"/>
      <c r="I14" s="6"/>
    </row>
    <row r="15" spans="1:9" x14ac:dyDescent="0.3">
      <c r="A15" s="25"/>
      <c r="B15" s="10"/>
      <c r="C15" s="24"/>
      <c r="D15" s="11"/>
      <c r="E15" s="11"/>
      <c r="F15" s="11"/>
      <c r="G15" s="7"/>
      <c r="H15" s="7"/>
      <c r="I15" s="10"/>
    </row>
    <row r="16" spans="1:9" x14ac:dyDescent="0.3">
      <c r="A16" s="23"/>
      <c r="B16" s="6"/>
      <c r="C16" s="24"/>
      <c r="D16" s="7"/>
      <c r="E16" s="7"/>
      <c r="F16" s="7"/>
      <c r="G16" s="7"/>
      <c r="H16" s="7"/>
      <c r="I16" s="6"/>
    </row>
    <row r="17" spans="1:9" x14ac:dyDescent="0.3">
      <c r="A17" s="25"/>
      <c r="B17" s="10"/>
      <c r="C17" s="24"/>
      <c r="D17" s="11"/>
      <c r="E17" s="11"/>
      <c r="F17" s="11"/>
      <c r="G17" s="7"/>
      <c r="H17" s="7"/>
      <c r="I17" s="10"/>
    </row>
    <row r="18" spans="1:9" x14ac:dyDescent="0.3">
      <c r="A18" s="23"/>
      <c r="B18" s="6"/>
      <c r="C18" s="24"/>
      <c r="D18" s="7"/>
      <c r="E18" s="7"/>
      <c r="F18" s="7"/>
      <c r="G18" s="7"/>
      <c r="H18" s="7"/>
      <c r="I18" s="6"/>
    </row>
    <row r="19" spans="1:9" x14ac:dyDescent="0.3">
      <c r="A19" s="25"/>
      <c r="B19" s="10"/>
      <c r="C19" s="24"/>
      <c r="D19" s="11"/>
      <c r="E19" s="11"/>
      <c r="F19" s="11"/>
      <c r="G19" s="7"/>
      <c r="H19" s="7"/>
      <c r="I19" s="10"/>
    </row>
    <row r="20" spans="1:9" x14ac:dyDescent="0.3">
      <c r="A20" s="23"/>
      <c r="B20" s="6"/>
      <c r="C20" s="24"/>
      <c r="D20" s="7"/>
      <c r="E20" s="7"/>
      <c r="F20" s="7"/>
      <c r="G20" s="7"/>
      <c r="H20" s="7"/>
      <c r="I20" s="6"/>
    </row>
    <row r="21" spans="1:9" x14ac:dyDescent="0.3">
      <c r="A21" s="25"/>
      <c r="B21" s="10"/>
      <c r="C21" s="24"/>
      <c r="D21" s="11"/>
      <c r="E21" s="11"/>
      <c r="F21" s="11"/>
      <c r="G21" s="7"/>
      <c r="H21" s="7"/>
      <c r="I21" s="10"/>
    </row>
    <row r="22" spans="1:9" x14ac:dyDescent="0.3">
      <c r="A22" s="23"/>
      <c r="B22" s="6"/>
      <c r="C22" s="24"/>
      <c r="D22" s="7"/>
      <c r="E22" s="7"/>
      <c r="F22" s="7"/>
      <c r="G22" s="7"/>
      <c r="H22" s="7"/>
      <c r="I22" s="6"/>
    </row>
    <row r="23" spans="1:9" x14ac:dyDescent="0.3">
      <c r="A23" s="25"/>
      <c r="B23" s="10"/>
      <c r="C23" s="24"/>
      <c r="D23" s="11"/>
      <c r="E23" s="11"/>
      <c r="F23" s="11"/>
      <c r="G23" s="7"/>
      <c r="H23" s="7"/>
      <c r="I23" s="10"/>
    </row>
    <row r="24" spans="1:9" x14ac:dyDescent="0.3">
      <c r="A24" s="23"/>
      <c r="B24" s="6"/>
      <c r="C24" s="24"/>
      <c r="D24" s="7"/>
      <c r="E24" s="7"/>
      <c r="F24" s="7"/>
      <c r="G24" s="7"/>
      <c r="H24" s="7"/>
      <c r="I24" s="6"/>
    </row>
    <row r="25" spans="1:9" x14ac:dyDescent="0.3">
      <c r="A25" s="25"/>
      <c r="B25" s="10"/>
      <c r="C25" s="24"/>
      <c r="D25" s="11"/>
      <c r="E25" s="11"/>
      <c r="F25" s="11"/>
      <c r="G25" s="7"/>
      <c r="H25" s="7"/>
      <c r="I25" s="10"/>
    </row>
    <row r="26" spans="1:9" x14ac:dyDescent="0.3">
      <c r="A26" s="23"/>
      <c r="B26" s="6"/>
      <c r="C26" s="24"/>
      <c r="D26" s="7"/>
      <c r="E26" s="7"/>
      <c r="F26" s="7"/>
      <c r="G26" s="7"/>
      <c r="H26" s="7"/>
      <c r="I26" s="6"/>
    </row>
    <row r="27" spans="1:9" x14ac:dyDescent="0.3">
      <c r="A27" s="25"/>
      <c r="B27" s="10"/>
      <c r="C27" s="24"/>
      <c r="D27" s="11"/>
      <c r="E27" s="11"/>
      <c r="F27" s="11"/>
      <c r="G27" s="7"/>
      <c r="H27" s="7"/>
      <c r="I27" s="10"/>
    </row>
    <row r="28" spans="1:9" x14ac:dyDescent="0.3">
      <c r="A28" s="23"/>
      <c r="B28" s="6"/>
      <c r="C28" s="24"/>
      <c r="D28" s="7"/>
      <c r="E28" s="7"/>
      <c r="F28" s="7"/>
      <c r="G28" s="7"/>
      <c r="H28" s="7"/>
      <c r="I28" s="6"/>
    </row>
    <row r="29" spans="1:9" x14ac:dyDescent="0.3">
      <c r="A29" s="25"/>
      <c r="B29" s="10"/>
      <c r="C29" s="24"/>
      <c r="D29" s="11"/>
      <c r="E29" s="11"/>
      <c r="F29" s="11"/>
      <c r="G29" s="7"/>
      <c r="H29" s="7"/>
      <c r="I29" s="10"/>
    </row>
    <row r="30" spans="1:9" x14ac:dyDescent="0.3">
      <c r="A30" s="23"/>
      <c r="B30" s="6"/>
      <c r="C30" s="24"/>
      <c r="D30" s="7"/>
      <c r="E30" s="7"/>
      <c r="F30" s="7"/>
      <c r="G30" s="7"/>
      <c r="H30" s="7"/>
      <c r="I30" s="6"/>
    </row>
    <row r="31" spans="1:9" x14ac:dyDescent="0.3">
      <c r="A31" s="25"/>
      <c r="B31" s="10"/>
      <c r="C31" s="24"/>
      <c r="D31" s="11"/>
      <c r="E31" s="11"/>
      <c r="F31" s="11"/>
      <c r="G31" s="7"/>
      <c r="H31" s="7"/>
      <c r="I31" s="10"/>
    </row>
    <row r="32" spans="1:9" x14ac:dyDescent="0.3">
      <c r="A32" s="23"/>
      <c r="B32" s="6"/>
      <c r="C32" s="24"/>
      <c r="D32" s="7"/>
      <c r="E32" s="7"/>
      <c r="F32" s="7"/>
      <c r="G32" s="7"/>
      <c r="H32" s="7"/>
      <c r="I32" s="6"/>
    </row>
    <row r="33" spans="1:9" x14ac:dyDescent="0.3">
      <c r="A33" s="25"/>
      <c r="B33" s="10"/>
      <c r="C33" s="24"/>
      <c r="D33" s="11"/>
      <c r="E33" s="11"/>
      <c r="F33" s="11"/>
      <c r="G33" s="7"/>
      <c r="H33" s="7"/>
      <c r="I33" s="10"/>
    </row>
    <row r="34" spans="1:9" x14ac:dyDescent="0.3">
      <c r="A34" s="23"/>
      <c r="B34" s="6"/>
      <c r="C34" s="24"/>
      <c r="D34" s="7"/>
      <c r="E34" s="7"/>
      <c r="F34" s="7"/>
      <c r="G34" s="7"/>
      <c r="H34" s="7"/>
      <c r="I34" s="6"/>
    </row>
    <row r="35" spans="1:9" x14ac:dyDescent="0.3">
      <c r="A35" s="25"/>
      <c r="B35" s="10"/>
      <c r="C35" s="24"/>
      <c r="D35" s="11"/>
      <c r="E35" s="11"/>
      <c r="F35" s="11"/>
      <c r="G35" s="7"/>
      <c r="H35" s="7"/>
      <c r="I35" s="10"/>
    </row>
    <row r="36" spans="1:9" x14ac:dyDescent="0.3">
      <c r="A36" s="23"/>
      <c r="B36" s="6"/>
      <c r="C36" s="26"/>
      <c r="D36" s="7"/>
      <c r="E36" s="7"/>
      <c r="F36" s="7"/>
      <c r="G36" s="7"/>
      <c r="H36" s="7"/>
      <c r="I36" s="6"/>
    </row>
    <row r="37" spans="1:9" x14ac:dyDescent="0.3">
      <c r="A37" s="25"/>
      <c r="B37" s="10"/>
      <c r="C37" s="26"/>
      <c r="D37" s="11"/>
      <c r="E37" s="11"/>
      <c r="F37" s="11"/>
      <c r="G37" s="7"/>
      <c r="H37" s="7"/>
      <c r="I37" s="10"/>
    </row>
    <row r="38" spans="1:9" x14ac:dyDescent="0.3">
      <c r="A38" s="23"/>
      <c r="B38" s="6"/>
      <c r="C38" s="26"/>
      <c r="D38" s="7"/>
      <c r="E38" s="7"/>
      <c r="F38" s="7"/>
      <c r="G38" s="7"/>
      <c r="H38" s="7"/>
      <c r="I38" s="6"/>
    </row>
    <row r="39" spans="1:9" x14ac:dyDescent="0.3">
      <c r="A39" s="25"/>
      <c r="B39" s="10"/>
      <c r="C39" s="26"/>
      <c r="D39" s="11"/>
      <c r="E39" s="11"/>
      <c r="F39" s="11"/>
      <c r="G39" s="7"/>
      <c r="H39" s="7"/>
      <c r="I39" s="10"/>
    </row>
    <row r="40" spans="1:9" x14ac:dyDescent="0.3">
      <c r="A40" s="23"/>
      <c r="B40" s="6"/>
      <c r="C40" s="26"/>
      <c r="D40" s="7"/>
      <c r="E40" s="7"/>
      <c r="F40" s="7"/>
      <c r="G40" s="7"/>
      <c r="H40" s="7"/>
      <c r="I40" s="6"/>
    </row>
    <row r="41" spans="1:9" x14ac:dyDescent="0.3">
      <c r="A41" s="25"/>
      <c r="B41" s="10"/>
      <c r="C41" s="26"/>
      <c r="D41" s="11"/>
      <c r="E41" s="11"/>
      <c r="F41" s="11"/>
      <c r="G41" s="7"/>
      <c r="H41" s="7"/>
      <c r="I41" s="10"/>
    </row>
    <row r="42" spans="1:9" x14ac:dyDescent="0.3">
      <c r="A42" s="23"/>
      <c r="B42" s="6"/>
      <c r="C42" s="26"/>
      <c r="D42" s="7"/>
      <c r="E42" s="7"/>
      <c r="F42" s="7"/>
      <c r="G42" s="7"/>
      <c r="H42" s="7"/>
      <c r="I42" s="6"/>
    </row>
    <row r="43" spans="1:9" x14ac:dyDescent="0.3">
      <c r="A43" s="25"/>
      <c r="B43" s="10"/>
      <c r="C43" s="26"/>
      <c r="D43" s="11"/>
      <c r="E43" s="11"/>
      <c r="F43" s="11"/>
      <c r="G43" s="7"/>
      <c r="H43" s="7"/>
      <c r="I43" s="10"/>
    </row>
    <row r="44" spans="1:9" x14ac:dyDescent="0.3">
      <c r="A44" s="23"/>
      <c r="B44" s="6"/>
      <c r="C44" s="26"/>
      <c r="D44" s="7"/>
      <c r="E44" s="7"/>
      <c r="F44" s="7"/>
      <c r="G44" s="7"/>
      <c r="H44" s="7"/>
      <c r="I44" s="6"/>
    </row>
    <row r="45" spans="1:9" x14ac:dyDescent="0.3">
      <c r="A45" s="25"/>
      <c r="B45" s="10"/>
      <c r="C45" s="24"/>
      <c r="D45" s="11"/>
      <c r="E45" s="11"/>
      <c r="F45" s="11"/>
      <c r="G45" s="7"/>
      <c r="H45" s="7"/>
      <c r="I45" s="10"/>
    </row>
    <row r="46" spans="1:9" x14ac:dyDescent="0.3">
      <c r="A46" s="23"/>
      <c r="B46" s="6"/>
      <c r="C46" s="24"/>
      <c r="D46" s="7"/>
      <c r="E46" s="7"/>
      <c r="F46" s="7"/>
      <c r="G46" s="7"/>
      <c r="H46" s="7"/>
      <c r="I46" s="6"/>
    </row>
    <row r="47" spans="1:9" x14ac:dyDescent="0.3">
      <c r="A47" s="25"/>
      <c r="B47" s="10"/>
      <c r="C47" s="24"/>
      <c r="D47" s="11"/>
      <c r="E47" s="11"/>
      <c r="F47" s="11"/>
      <c r="G47" s="7"/>
      <c r="H47" s="7"/>
      <c r="I47" s="10"/>
    </row>
    <row r="49" spans="2:5" x14ac:dyDescent="0.3">
      <c r="B49" s="27" t="s">
        <v>42</v>
      </c>
      <c r="E49" s="28">
        <f>SUM(E2:E47)</f>
        <v>3</v>
      </c>
    </row>
    <row r="50" spans="2:5" x14ac:dyDescent="0.3">
      <c r="B50" s="27" t="s">
        <v>43</v>
      </c>
      <c r="E50" s="28">
        <f>SUMIF(F2:F47,"Feito",E2:E47)</f>
        <v>1</v>
      </c>
    </row>
    <row r="54" spans="2:5" x14ac:dyDescent="0.3">
      <c r="B54" s="40" t="s">
        <v>65</v>
      </c>
    </row>
    <row r="55" spans="2:5" x14ac:dyDescent="0.3">
      <c r="B55" s="40" t="s">
        <v>66</v>
      </c>
    </row>
    <row r="56" spans="2:5" x14ac:dyDescent="0.3">
      <c r="B56" s="40" t="s">
        <v>67</v>
      </c>
    </row>
    <row r="57" spans="2:5" x14ac:dyDescent="0.3">
      <c r="B57" s="40" t="s">
        <v>68</v>
      </c>
    </row>
  </sheetData>
  <autoFilter ref="A1:I47" xr:uid="{00000000-0009-0000-0000-000004000000}"/>
  <dataValidations count="2">
    <dataValidation type="list" allowBlank="1" sqref="F2:F47" xr:uid="{00000000-0002-0000-0400-000000000000}">
      <formula1>"Backlog,A Fazer,Fazendo,Em Review,Feito"</formula1>
      <formula2>0</formula2>
    </dataValidation>
    <dataValidation type="list" allowBlank="1" sqref="G2:H47" xr:uid="{94F94DC7-2A3A-4FCE-A9C7-A7314E67A3D4}">
      <formula1>$B$54:$B$57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4"/>
  <sheetViews>
    <sheetView zoomScaleNormal="100" workbookViewId="0">
      <pane ySplit="1" topLeftCell="A2" activePane="bottomLeft" state="frozen"/>
      <selection pane="bottomLeft" activeCell="I3" sqref="I3"/>
    </sheetView>
  </sheetViews>
  <sheetFormatPr defaultColWidth="8.6640625" defaultRowHeight="14.4" x14ac:dyDescent="0.3"/>
  <cols>
    <col min="1" max="1" width="9" customWidth="1"/>
    <col min="2" max="2" width="50" customWidth="1"/>
    <col min="3" max="3" width="10" customWidth="1"/>
    <col min="4" max="4" width="7" customWidth="1"/>
    <col min="5" max="5" width="10" customWidth="1"/>
    <col min="6" max="6" width="12" customWidth="1"/>
    <col min="7" max="8" width="19.5546875" customWidth="1"/>
    <col min="9" max="9" width="28" customWidth="1"/>
  </cols>
  <sheetData>
    <row r="1" spans="1:9" ht="26.4" x14ac:dyDescent="0.3">
      <c r="A1" s="32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54" t="s">
        <v>57</v>
      </c>
      <c r="H1" s="54" t="s">
        <v>58</v>
      </c>
      <c r="I1" s="32" t="s">
        <v>38</v>
      </c>
    </row>
    <row r="2" spans="1:9" x14ac:dyDescent="0.3">
      <c r="A2" s="23" t="s">
        <v>44</v>
      </c>
      <c r="B2" s="6" t="s">
        <v>53</v>
      </c>
      <c r="C2" s="24" t="s">
        <v>39</v>
      </c>
      <c r="D2" s="7">
        <v>1</v>
      </c>
      <c r="E2" s="7">
        <v>0.5</v>
      </c>
      <c r="F2" s="7" t="s">
        <v>7</v>
      </c>
      <c r="G2" s="7" t="s">
        <v>64</v>
      </c>
      <c r="H2" s="7"/>
      <c r="I2" s="41" t="s">
        <v>88</v>
      </c>
    </row>
    <row r="3" spans="1:9" x14ac:dyDescent="0.3">
      <c r="A3" s="33" t="s">
        <v>45</v>
      </c>
      <c r="B3" s="10" t="s">
        <v>54</v>
      </c>
      <c r="C3" s="24" t="s">
        <v>39</v>
      </c>
      <c r="D3" s="11">
        <v>1</v>
      </c>
      <c r="E3" s="11">
        <v>0.5</v>
      </c>
      <c r="F3" s="11" t="s">
        <v>40</v>
      </c>
      <c r="G3" s="7" t="s">
        <v>63</v>
      </c>
      <c r="H3" s="7"/>
      <c r="I3" s="10"/>
    </row>
    <row r="4" spans="1:9" x14ac:dyDescent="0.3">
      <c r="A4" s="34" t="s">
        <v>46</v>
      </c>
      <c r="B4" s="6" t="s">
        <v>55</v>
      </c>
      <c r="C4" s="24" t="s">
        <v>39</v>
      </c>
      <c r="D4" s="7">
        <v>1</v>
      </c>
      <c r="E4" s="7">
        <v>1</v>
      </c>
      <c r="F4" s="7" t="s">
        <v>40</v>
      </c>
      <c r="G4" s="7" t="s">
        <v>62</v>
      </c>
      <c r="H4" s="7"/>
      <c r="I4" s="6"/>
    </row>
    <row r="5" spans="1:9" x14ac:dyDescent="0.3">
      <c r="A5" s="33" t="s">
        <v>47</v>
      </c>
      <c r="B5" s="10" t="s">
        <v>56</v>
      </c>
      <c r="C5" s="24" t="s">
        <v>39</v>
      </c>
      <c r="D5" s="11">
        <v>1</v>
      </c>
      <c r="E5" s="11">
        <v>1</v>
      </c>
      <c r="F5" s="11" t="s">
        <v>40</v>
      </c>
      <c r="G5" s="7" t="s">
        <v>61</v>
      </c>
      <c r="H5" s="7"/>
      <c r="I5" s="10"/>
    </row>
    <row r="6" spans="1:9" x14ac:dyDescent="0.3">
      <c r="A6" s="23"/>
      <c r="B6" s="6"/>
      <c r="C6" s="24" t="s">
        <v>39</v>
      </c>
      <c r="D6" s="7">
        <v>1</v>
      </c>
      <c r="E6" s="7"/>
      <c r="F6" s="7"/>
      <c r="G6" s="7"/>
      <c r="H6" s="7"/>
      <c r="I6" s="6"/>
    </row>
    <row r="7" spans="1:9" x14ac:dyDescent="0.3">
      <c r="A7" s="25"/>
      <c r="B7" s="10"/>
      <c r="C7" s="24" t="s">
        <v>39</v>
      </c>
      <c r="D7" s="11">
        <v>1</v>
      </c>
      <c r="E7" s="11"/>
      <c r="F7" s="11"/>
      <c r="G7" s="7"/>
      <c r="H7" s="7"/>
      <c r="I7" s="10"/>
    </row>
    <row r="8" spans="1:9" x14ac:dyDescent="0.3">
      <c r="A8" s="23"/>
      <c r="B8" s="6"/>
      <c r="C8" s="24" t="s">
        <v>39</v>
      </c>
      <c r="D8" s="7">
        <v>1</v>
      </c>
      <c r="E8" s="7"/>
      <c r="F8" s="7"/>
      <c r="G8" s="7"/>
      <c r="H8" s="7"/>
      <c r="I8" s="6"/>
    </row>
    <row r="9" spans="1:9" x14ac:dyDescent="0.3">
      <c r="A9" s="25"/>
      <c r="B9" s="10"/>
      <c r="C9" s="24" t="s">
        <v>39</v>
      </c>
      <c r="D9" s="11">
        <v>1</v>
      </c>
      <c r="E9" s="11"/>
      <c r="F9" s="11"/>
      <c r="G9" s="7"/>
      <c r="H9" s="7"/>
      <c r="I9" s="10"/>
    </row>
    <row r="10" spans="1:9" x14ac:dyDescent="0.3">
      <c r="A10" s="23"/>
      <c r="B10" s="6"/>
      <c r="C10" s="24" t="s">
        <v>39</v>
      </c>
      <c r="D10" s="7">
        <v>1</v>
      </c>
      <c r="E10" s="7"/>
      <c r="F10" s="7"/>
      <c r="G10" s="7"/>
      <c r="H10" s="7"/>
      <c r="I10" s="6"/>
    </row>
    <row r="11" spans="1:9" x14ac:dyDescent="0.3">
      <c r="A11" s="25"/>
      <c r="B11" s="10"/>
      <c r="C11" s="24" t="s">
        <v>39</v>
      </c>
      <c r="D11" s="11">
        <v>1</v>
      </c>
      <c r="E11" s="11"/>
      <c r="F11" s="11"/>
      <c r="G11" s="7"/>
      <c r="H11" s="7"/>
      <c r="I11" s="10"/>
    </row>
    <row r="12" spans="1:9" x14ac:dyDescent="0.3">
      <c r="A12" s="23"/>
      <c r="B12" s="6"/>
      <c r="C12" s="24" t="s">
        <v>39</v>
      </c>
      <c r="D12" s="7">
        <v>1</v>
      </c>
      <c r="E12" s="7"/>
      <c r="F12" s="7"/>
      <c r="G12" s="7"/>
      <c r="H12" s="7"/>
      <c r="I12" s="6"/>
    </row>
    <row r="13" spans="1:9" x14ac:dyDescent="0.3">
      <c r="A13" s="25"/>
      <c r="B13" s="10"/>
      <c r="C13" s="24" t="s">
        <v>39</v>
      </c>
      <c r="D13" s="11">
        <v>1</v>
      </c>
      <c r="E13" s="11"/>
      <c r="F13" s="11"/>
      <c r="G13" s="7"/>
      <c r="H13" s="7"/>
      <c r="I13" s="10"/>
    </row>
    <row r="14" spans="1:9" x14ac:dyDescent="0.3">
      <c r="A14" s="23"/>
      <c r="B14" s="6"/>
      <c r="C14" s="24" t="s">
        <v>39</v>
      </c>
      <c r="D14" s="7">
        <v>1</v>
      </c>
      <c r="E14" s="7"/>
      <c r="F14" s="7"/>
      <c r="G14" s="7"/>
      <c r="H14" s="7"/>
      <c r="I14" s="6"/>
    </row>
    <row r="15" spans="1:9" x14ac:dyDescent="0.3">
      <c r="A15" s="25"/>
      <c r="B15" s="10"/>
      <c r="C15" s="24" t="s">
        <v>39</v>
      </c>
      <c r="D15" s="11">
        <v>1</v>
      </c>
      <c r="E15" s="11"/>
      <c r="F15" s="11"/>
      <c r="G15" s="7"/>
      <c r="H15" s="7"/>
      <c r="I15" s="10"/>
    </row>
    <row r="16" spans="1:9" x14ac:dyDescent="0.3">
      <c r="A16" s="23"/>
      <c r="B16" s="6"/>
      <c r="C16" s="24" t="s">
        <v>39</v>
      </c>
      <c r="D16" s="7">
        <v>1</v>
      </c>
      <c r="E16" s="7"/>
      <c r="F16" s="7"/>
      <c r="G16" s="7"/>
      <c r="H16" s="7"/>
      <c r="I16" s="6"/>
    </row>
    <row r="17" spans="1:9" x14ac:dyDescent="0.3">
      <c r="A17" s="25"/>
      <c r="B17" s="10"/>
      <c r="C17" s="24" t="s">
        <v>39</v>
      </c>
      <c r="D17" s="11">
        <v>1</v>
      </c>
      <c r="E17" s="11"/>
      <c r="F17" s="11"/>
      <c r="G17" s="7"/>
      <c r="H17" s="7"/>
      <c r="I17" s="10"/>
    </row>
    <row r="18" spans="1:9" x14ac:dyDescent="0.3">
      <c r="A18" s="23"/>
      <c r="B18" s="6"/>
      <c r="C18" s="24" t="s">
        <v>39</v>
      </c>
      <c r="D18" s="7">
        <v>2</v>
      </c>
      <c r="E18" s="7"/>
      <c r="F18" s="7"/>
      <c r="G18" s="7"/>
      <c r="H18" s="7"/>
      <c r="I18" s="6"/>
    </row>
    <row r="19" spans="1:9" x14ac:dyDescent="0.3">
      <c r="A19" s="25"/>
      <c r="B19" s="10"/>
      <c r="C19" s="24" t="s">
        <v>39</v>
      </c>
      <c r="D19" s="11">
        <v>2</v>
      </c>
      <c r="E19" s="11"/>
      <c r="F19" s="11"/>
      <c r="G19" s="7"/>
      <c r="H19" s="7"/>
      <c r="I19" s="10"/>
    </row>
    <row r="20" spans="1:9" x14ac:dyDescent="0.3">
      <c r="A20" s="23"/>
      <c r="B20" s="6"/>
      <c r="C20" s="24" t="s">
        <v>39</v>
      </c>
      <c r="D20" s="7">
        <v>2</v>
      </c>
      <c r="E20" s="7"/>
      <c r="F20" s="7"/>
      <c r="G20" s="7"/>
      <c r="H20" s="7"/>
      <c r="I20" s="6"/>
    </row>
    <row r="21" spans="1:9" x14ac:dyDescent="0.3">
      <c r="A21" s="25"/>
      <c r="B21" s="10"/>
      <c r="C21" s="24" t="s">
        <v>39</v>
      </c>
      <c r="D21" s="11">
        <v>2</v>
      </c>
      <c r="E21" s="11"/>
      <c r="F21" s="11"/>
      <c r="G21" s="7"/>
      <c r="H21" s="7"/>
      <c r="I21" s="10"/>
    </row>
    <row r="22" spans="1:9" x14ac:dyDescent="0.3">
      <c r="A22" s="23"/>
      <c r="B22" s="6"/>
      <c r="C22" s="24" t="s">
        <v>39</v>
      </c>
      <c r="D22" s="7">
        <v>2</v>
      </c>
      <c r="E22" s="7"/>
      <c r="F22" s="7"/>
      <c r="G22" s="7"/>
      <c r="H22" s="7"/>
      <c r="I22" s="6"/>
    </row>
    <row r="23" spans="1:9" x14ac:dyDescent="0.3">
      <c r="A23" s="25"/>
      <c r="B23" s="10"/>
      <c r="C23" s="24" t="s">
        <v>39</v>
      </c>
      <c r="D23" s="11">
        <v>2</v>
      </c>
      <c r="E23" s="11"/>
      <c r="F23" s="11"/>
      <c r="G23" s="7"/>
      <c r="H23" s="7"/>
      <c r="I23" s="10"/>
    </row>
    <row r="24" spans="1:9" x14ac:dyDescent="0.3">
      <c r="A24" s="23"/>
      <c r="B24" s="6"/>
      <c r="C24" s="24" t="s">
        <v>39</v>
      </c>
      <c r="D24" s="7">
        <v>2</v>
      </c>
      <c r="E24" s="7"/>
      <c r="F24" s="7"/>
      <c r="G24" s="7"/>
      <c r="H24" s="7"/>
      <c r="I24" s="6"/>
    </row>
    <row r="25" spans="1:9" x14ac:dyDescent="0.3">
      <c r="A25" s="25"/>
      <c r="B25" s="10"/>
      <c r="C25" s="24" t="s">
        <v>39</v>
      </c>
      <c r="D25" s="11">
        <v>2</v>
      </c>
      <c r="E25" s="11"/>
      <c r="F25" s="11"/>
      <c r="G25" s="7"/>
      <c r="H25" s="7"/>
      <c r="I25" s="10"/>
    </row>
    <row r="26" spans="1:9" x14ac:dyDescent="0.3">
      <c r="A26" s="23"/>
      <c r="B26" s="6"/>
      <c r="C26" s="24" t="s">
        <v>39</v>
      </c>
      <c r="D26" s="7">
        <v>2</v>
      </c>
      <c r="E26" s="7"/>
      <c r="F26" s="7"/>
      <c r="G26" s="7"/>
      <c r="H26" s="7"/>
      <c r="I26" s="6"/>
    </row>
    <row r="27" spans="1:9" x14ac:dyDescent="0.3">
      <c r="A27" s="25"/>
      <c r="B27" s="10"/>
      <c r="C27" s="24" t="s">
        <v>39</v>
      </c>
      <c r="D27" s="11">
        <v>2</v>
      </c>
      <c r="E27" s="11"/>
      <c r="F27" s="11"/>
      <c r="G27" s="7"/>
      <c r="H27" s="7"/>
      <c r="I27" s="10"/>
    </row>
    <row r="28" spans="1:9" x14ac:dyDescent="0.3">
      <c r="A28" s="23"/>
      <c r="B28" s="6"/>
      <c r="C28" s="24" t="s">
        <v>39</v>
      </c>
      <c r="D28" s="7">
        <v>2</v>
      </c>
      <c r="E28" s="7"/>
      <c r="F28" s="7"/>
      <c r="G28" s="7"/>
      <c r="H28" s="7"/>
      <c r="I28" s="6"/>
    </row>
    <row r="29" spans="1:9" x14ac:dyDescent="0.3">
      <c r="A29" s="25"/>
      <c r="B29" s="10"/>
      <c r="C29" s="24" t="s">
        <v>39</v>
      </c>
      <c r="D29" s="11">
        <v>2</v>
      </c>
      <c r="E29" s="11"/>
      <c r="F29" s="11"/>
      <c r="G29" s="7"/>
      <c r="H29" s="7"/>
      <c r="I29" s="10"/>
    </row>
    <row r="30" spans="1:9" x14ac:dyDescent="0.3">
      <c r="A30" s="23"/>
      <c r="B30" s="6"/>
      <c r="C30" s="24" t="s">
        <v>39</v>
      </c>
      <c r="D30" s="7">
        <v>2</v>
      </c>
      <c r="E30" s="7"/>
      <c r="F30" s="7"/>
      <c r="G30" s="7"/>
      <c r="H30" s="7"/>
      <c r="I30" s="6"/>
    </row>
    <row r="31" spans="1:9" x14ac:dyDescent="0.3">
      <c r="A31" s="25"/>
      <c r="B31" s="10"/>
      <c r="C31" s="24" t="s">
        <v>39</v>
      </c>
      <c r="D31" s="11">
        <v>2</v>
      </c>
      <c r="E31" s="11"/>
      <c r="F31" s="11"/>
      <c r="G31" s="7"/>
      <c r="H31" s="7"/>
      <c r="I31" s="10"/>
    </row>
    <row r="32" spans="1:9" x14ac:dyDescent="0.3">
      <c r="A32" s="23"/>
      <c r="B32" s="6"/>
      <c r="C32" s="24" t="s">
        <v>39</v>
      </c>
      <c r="D32" s="7">
        <v>2</v>
      </c>
      <c r="E32" s="7"/>
      <c r="F32" s="7"/>
      <c r="G32" s="7"/>
      <c r="H32" s="7"/>
      <c r="I32" s="6"/>
    </row>
    <row r="33" spans="1:9" x14ac:dyDescent="0.3">
      <c r="A33" s="25"/>
      <c r="B33" s="10"/>
      <c r="C33" s="24" t="s">
        <v>39</v>
      </c>
      <c r="D33" s="11">
        <v>2</v>
      </c>
      <c r="E33" s="11"/>
      <c r="F33" s="11"/>
      <c r="G33" s="7"/>
      <c r="H33" s="7"/>
      <c r="I33" s="10"/>
    </row>
    <row r="34" spans="1:9" x14ac:dyDescent="0.3">
      <c r="A34" s="23"/>
      <c r="B34" s="6"/>
      <c r="C34" s="24" t="s">
        <v>39</v>
      </c>
      <c r="D34" s="7">
        <v>2</v>
      </c>
      <c r="E34" s="7"/>
      <c r="F34" s="7"/>
      <c r="G34" s="7"/>
      <c r="H34" s="7"/>
      <c r="I34" s="6"/>
    </row>
    <row r="35" spans="1:9" x14ac:dyDescent="0.3">
      <c r="A35" s="25"/>
      <c r="B35" s="10"/>
      <c r="C35" s="24" t="s">
        <v>39</v>
      </c>
      <c r="D35" s="11">
        <v>2</v>
      </c>
      <c r="E35" s="11"/>
      <c r="F35" s="11"/>
      <c r="G35" s="7"/>
      <c r="H35" s="7"/>
      <c r="I35" s="10"/>
    </row>
    <row r="36" spans="1:9" x14ac:dyDescent="0.3">
      <c r="A36" s="23"/>
      <c r="B36" s="6"/>
      <c r="C36" s="26" t="s">
        <v>41</v>
      </c>
      <c r="D36" s="7">
        <v>3</v>
      </c>
      <c r="E36" s="7"/>
      <c r="F36" s="7"/>
      <c r="G36" s="7"/>
      <c r="H36" s="7"/>
      <c r="I36" s="6"/>
    </row>
    <row r="37" spans="1:9" x14ac:dyDescent="0.3">
      <c r="A37" s="25"/>
      <c r="B37" s="10"/>
      <c r="C37" s="26" t="s">
        <v>41</v>
      </c>
      <c r="D37" s="11">
        <v>3</v>
      </c>
      <c r="E37" s="11"/>
      <c r="F37" s="11"/>
      <c r="G37" s="7"/>
      <c r="H37" s="7"/>
      <c r="I37" s="10"/>
    </row>
    <row r="38" spans="1:9" x14ac:dyDescent="0.3">
      <c r="A38" s="23"/>
      <c r="B38" s="6"/>
      <c r="C38" s="26" t="s">
        <v>41</v>
      </c>
      <c r="D38" s="7">
        <v>3</v>
      </c>
      <c r="E38" s="7"/>
      <c r="F38" s="7"/>
      <c r="G38" s="7"/>
      <c r="H38" s="7"/>
      <c r="I38" s="6"/>
    </row>
    <row r="39" spans="1:9" x14ac:dyDescent="0.3">
      <c r="A39" s="25"/>
      <c r="B39" s="10"/>
      <c r="C39" s="26" t="s">
        <v>41</v>
      </c>
      <c r="D39" s="11">
        <v>3</v>
      </c>
      <c r="E39" s="11"/>
      <c r="F39" s="11"/>
      <c r="G39" s="7"/>
      <c r="H39" s="7"/>
      <c r="I39" s="10"/>
    </row>
    <row r="40" spans="1:9" x14ac:dyDescent="0.3">
      <c r="A40" s="23"/>
      <c r="B40" s="6"/>
      <c r="C40" s="26" t="s">
        <v>41</v>
      </c>
      <c r="D40" s="7">
        <v>3</v>
      </c>
      <c r="E40" s="7"/>
      <c r="F40" s="7"/>
      <c r="G40" s="7"/>
      <c r="H40" s="7"/>
      <c r="I40" s="6"/>
    </row>
    <row r="41" spans="1:9" x14ac:dyDescent="0.3">
      <c r="A41" s="25"/>
      <c r="B41" s="10"/>
      <c r="C41" s="24" t="s">
        <v>39</v>
      </c>
      <c r="D41" s="11">
        <v>3</v>
      </c>
      <c r="E41" s="11"/>
      <c r="F41" s="11"/>
      <c r="G41" s="7"/>
      <c r="H41" s="7"/>
      <c r="I41" s="10"/>
    </row>
    <row r="42" spans="1:9" x14ac:dyDescent="0.3">
      <c r="A42" s="23"/>
      <c r="B42" s="6"/>
      <c r="C42" s="24" t="s">
        <v>39</v>
      </c>
      <c r="D42" s="7">
        <v>3</v>
      </c>
      <c r="E42" s="7"/>
      <c r="F42" s="7"/>
      <c r="G42" s="7"/>
      <c r="H42" s="7"/>
      <c r="I42" s="6"/>
    </row>
    <row r="43" spans="1:9" x14ac:dyDescent="0.3">
      <c r="A43" s="25"/>
      <c r="B43" s="10"/>
      <c r="C43" s="24" t="s">
        <v>39</v>
      </c>
      <c r="D43" s="11">
        <v>3</v>
      </c>
      <c r="E43" s="11"/>
      <c r="F43" s="11"/>
      <c r="G43" s="7"/>
      <c r="H43" s="7"/>
      <c r="I43" s="10"/>
    </row>
    <row r="45" spans="1:9" x14ac:dyDescent="0.3">
      <c r="B45" s="27" t="s">
        <v>42</v>
      </c>
      <c r="E45" s="28">
        <f>SUM(E2:E43)</f>
        <v>3</v>
      </c>
    </row>
    <row r="46" spans="1:9" x14ac:dyDescent="0.3">
      <c r="B46" s="27" t="s">
        <v>43</v>
      </c>
      <c r="E46" s="28">
        <f>SUMIF(F2:F43,"Feito",E2:E43)</f>
        <v>0</v>
      </c>
    </row>
    <row r="51" spans="2:2" x14ac:dyDescent="0.3">
      <c r="B51" s="40" t="s">
        <v>61</v>
      </c>
    </row>
    <row r="52" spans="2:2" x14ac:dyDescent="0.3">
      <c r="B52" s="40" t="s">
        <v>62</v>
      </c>
    </row>
    <row r="53" spans="2:2" x14ac:dyDescent="0.3">
      <c r="B53" s="40" t="s">
        <v>63</v>
      </c>
    </row>
    <row r="54" spans="2:2" x14ac:dyDescent="0.3">
      <c r="B54" s="40" t="s">
        <v>64</v>
      </c>
    </row>
  </sheetData>
  <autoFilter ref="A1:I43" xr:uid="{00000000-0009-0000-0000-000005000000}"/>
  <dataValidations count="2">
    <dataValidation type="list" allowBlank="1" sqref="F2:F43" xr:uid="{00000000-0002-0000-0500-000000000000}">
      <formula1>"Backlog,A Fazer,Fazendo,Em Review,Feito"</formula1>
      <formula2>0</formula2>
    </dataValidation>
    <dataValidation type="list" allowBlank="1" sqref="G2:H43" xr:uid="{158C0F9D-397E-43EF-A41F-D9B9A74A2A69}">
      <formula1>$B$51:$B$54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4"/>
  <sheetViews>
    <sheetView zoomScaleNormal="100" workbookViewId="0">
      <pane ySplit="1" topLeftCell="A2" activePane="bottomLeft" state="frozen"/>
      <selection pane="bottomLeft" activeCell="G29" sqref="G29"/>
    </sheetView>
  </sheetViews>
  <sheetFormatPr defaultColWidth="8.6640625" defaultRowHeight="14.4" x14ac:dyDescent="0.3"/>
  <cols>
    <col min="1" max="1" width="9" customWidth="1"/>
    <col min="2" max="2" width="50" customWidth="1"/>
    <col min="3" max="3" width="10" customWidth="1"/>
    <col min="4" max="4" width="7" customWidth="1"/>
    <col min="5" max="5" width="10" customWidth="1"/>
    <col min="6" max="6" width="12" customWidth="1"/>
    <col min="7" max="8" width="18.88671875" customWidth="1"/>
    <col min="9" max="9" width="28" customWidth="1"/>
  </cols>
  <sheetData>
    <row r="1" spans="1:9" ht="26.4" x14ac:dyDescent="0.3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38" t="s">
        <v>57</v>
      </c>
      <c r="H1" s="38" t="s">
        <v>58</v>
      </c>
      <c r="I1" s="4" t="s">
        <v>38</v>
      </c>
    </row>
    <row r="2" spans="1:9" x14ac:dyDescent="0.3">
      <c r="A2" s="23" t="s">
        <v>44</v>
      </c>
      <c r="B2" s="6" t="s">
        <v>53</v>
      </c>
      <c r="C2" s="24" t="s">
        <v>39</v>
      </c>
      <c r="D2" s="7">
        <v>1</v>
      </c>
      <c r="E2" s="7">
        <v>0.5</v>
      </c>
      <c r="F2" s="7" t="s">
        <v>6</v>
      </c>
      <c r="G2" s="6" t="s">
        <v>48</v>
      </c>
      <c r="H2" s="6"/>
      <c r="I2" s="6"/>
    </row>
    <row r="3" spans="1:9" x14ac:dyDescent="0.3">
      <c r="A3" s="33" t="s">
        <v>45</v>
      </c>
      <c r="B3" s="10" t="s">
        <v>54</v>
      </c>
      <c r="C3" s="24" t="s">
        <v>39</v>
      </c>
      <c r="D3" s="11">
        <v>1</v>
      </c>
      <c r="E3" s="11">
        <v>0.5</v>
      </c>
      <c r="F3" s="11" t="s">
        <v>7</v>
      </c>
      <c r="G3" s="6" t="s">
        <v>49</v>
      </c>
      <c r="H3" s="6"/>
      <c r="I3" s="39" t="s">
        <v>59</v>
      </c>
    </row>
    <row r="4" spans="1:9" x14ac:dyDescent="0.3">
      <c r="A4" s="34" t="s">
        <v>46</v>
      </c>
      <c r="B4" s="6" t="s">
        <v>55</v>
      </c>
      <c r="C4" s="24" t="s">
        <v>39</v>
      </c>
      <c r="D4" s="7">
        <v>1</v>
      </c>
      <c r="E4" s="7">
        <v>1</v>
      </c>
      <c r="F4" s="7" t="s">
        <v>40</v>
      </c>
      <c r="G4" s="6" t="s">
        <v>51</v>
      </c>
      <c r="H4" s="6"/>
      <c r="I4" s="39" t="s">
        <v>59</v>
      </c>
    </row>
    <row r="5" spans="1:9" x14ac:dyDescent="0.3">
      <c r="A5" s="33" t="s">
        <v>47</v>
      </c>
      <c r="B5" s="10" t="s">
        <v>56</v>
      </c>
      <c r="C5" s="24" t="s">
        <v>39</v>
      </c>
      <c r="D5" s="11">
        <v>1</v>
      </c>
      <c r="E5" s="11">
        <v>1</v>
      </c>
      <c r="F5" s="11" t="s">
        <v>40</v>
      </c>
      <c r="G5" s="6" t="s">
        <v>50</v>
      </c>
      <c r="H5" s="6" t="s">
        <v>52</v>
      </c>
      <c r="I5" s="39" t="s">
        <v>60</v>
      </c>
    </row>
    <row r="6" spans="1:9" x14ac:dyDescent="0.3">
      <c r="A6" s="23"/>
      <c r="B6" s="6"/>
      <c r="C6" s="35"/>
      <c r="D6" s="7"/>
      <c r="E6" s="7"/>
      <c r="F6" s="7"/>
      <c r="G6" s="6"/>
      <c r="H6" s="6"/>
      <c r="I6" s="6"/>
    </row>
    <row r="7" spans="1:9" x14ac:dyDescent="0.3">
      <c r="A7" s="25"/>
      <c r="B7" s="10"/>
      <c r="C7" s="35"/>
      <c r="D7" s="11"/>
      <c r="E7" s="11"/>
      <c r="F7" s="11"/>
      <c r="G7" s="6"/>
      <c r="H7" s="6"/>
      <c r="I7" s="10"/>
    </row>
    <row r="8" spans="1:9" x14ac:dyDescent="0.3">
      <c r="A8" s="23"/>
      <c r="B8" s="6"/>
      <c r="C8" s="35"/>
      <c r="D8" s="7"/>
      <c r="E8" s="7"/>
      <c r="F8" s="7"/>
      <c r="G8" s="6"/>
      <c r="H8" s="6"/>
      <c r="I8" s="6"/>
    </row>
    <row r="9" spans="1:9" x14ac:dyDescent="0.3">
      <c r="A9" s="25"/>
      <c r="B9" s="10"/>
      <c r="C9" s="35"/>
      <c r="D9" s="11"/>
      <c r="E9" s="11"/>
      <c r="F9" s="11"/>
      <c r="G9" s="6"/>
      <c r="H9" s="6"/>
      <c r="I9" s="10"/>
    </row>
    <row r="10" spans="1:9" x14ac:dyDescent="0.3">
      <c r="A10" s="23"/>
      <c r="B10" s="6"/>
      <c r="C10" s="35"/>
      <c r="D10" s="7"/>
      <c r="E10" s="7"/>
      <c r="F10" s="7"/>
      <c r="G10" s="6"/>
      <c r="H10" s="6"/>
      <c r="I10" s="6"/>
    </row>
    <row r="11" spans="1:9" x14ac:dyDescent="0.3">
      <c r="A11" s="25"/>
      <c r="B11" s="10"/>
      <c r="C11" s="35"/>
      <c r="D11" s="11"/>
      <c r="E11" s="11"/>
      <c r="F11" s="11"/>
      <c r="G11" s="6"/>
      <c r="H11" s="6"/>
      <c r="I11" s="10"/>
    </row>
    <row r="12" spans="1:9" x14ac:dyDescent="0.3">
      <c r="A12" s="23"/>
      <c r="B12" s="6"/>
      <c r="C12" s="35"/>
      <c r="D12" s="7"/>
      <c r="E12" s="7"/>
      <c r="F12" s="7"/>
      <c r="G12" s="6"/>
      <c r="H12" s="6"/>
      <c r="I12" s="6"/>
    </row>
    <row r="13" spans="1:9" x14ac:dyDescent="0.3">
      <c r="A13" s="25"/>
      <c r="B13" s="10"/>
      <c r="C13" s="35"/>
      <c r="D13" s="11"/>
      <c r="E13" s="11"/>
      <c r="F13" s="11"/>
      <c r="G13" s="6"/>
      <c r="H13" s="6"/>
      <c r="I13" s="10"/>
    </row>
    <row r="14" spans="1:9" x14ac:dyDescent="0.3">
      <c r="A14" s="23"/>
      <c r="B14" s="6"/>
      <c r="C14" s="35"/>
      <c r="D14" s="7"/>
      <c r="E14" s="7"/>
      <c r="F14" s="7"/>
      <c r="G14" s="6"/>
      <c r="H14" s="6"/>
      <c r="I14" s="6"/>
    </row>
    <row r="15" spans="1:9" x14ac:dyDescent="0.3">
      <c r="A15" s="25"/>
      <c r="B15" s="10"/>
      <c r="C15" s="35"/>
      <c r="D15" s="11"/>
      <c r="E15" s="11"/>
      <c r="F15" s="11"/>
      <c r="G15" s="6"/>
      <c r="H15" s="6"/>
      <c r="I15" s="10"/>
    </row>
    <row r="16" spans="1:9" x14ac:dyDescent="0.3">
      <c r="A16" s="23"/>
      <c r="B16" s="6"/>
      <c r="C16" s="35"/>
      <c r="D16" s="7"/>
      <c r="E16" s="7"/>
      <c r="F16" s="7"/>
      <c r="G16" s="6"/>
      <c r="H16" s="6"/>
      <c r="I16" s="6"/>
    </row>
    <row r="17" spans="1:9" x14ac:dyDescent="0.3">
      <c r="A17" s="25"/>
      <c r="B17" s="10"/>
      <c r="C17" s="35"/>
      <c r="D17" s="11"/>
      <c r="E17" s="11"/>
      <c r="F17" s="11"/>
      <c r="G17" s="6"/>
      <c r="H17" s="6"/>
      <c r="I17" s="10"/>
    </row>
    <row r="18" spans="1:9" x14ac:dyDescent="0.3">
      <c r="A18" s="23"/>
      <c r="B18" s="6"/>
      <c r="C18" s="35"/>
      <c r="D18" s="7"/>
      <c r="E18" s="7"/>
      <c r="F18" s="7"/>
      <c r="G18" s="6"/>
      <c r="H18" s="6"/>
      <c r="I18" s="6"/>
    </row>
    <row r="19" spans="1:9" x14ac:dyDescent="0.3">
      <c r="A19" s="25"/>
      <c r="B19" s="10"/>
      <c r="C19" s="35"/>
      <c r="D19" s="11"/>
      <c r="E19" s="11"/>
      <c r="F19" s="11"/>
      <c r="G19" s="6"/>
      <c r="H19" s="6"/>
      <c r="I19" s="10"/>
    </row>
    <row r="20" spans="1:9" x14ac:dyDescent="0.3">
      <c r="A20" s="23"/>
      <c r="B20" s="6"/>
      <c r="C20" s="35"/>
      <c r="D20" s="7"/>
      <c r="E20" s="7"/>
      <c r="F20" s="7"/>
      <c r="G20" s="6"/>
      <c r="H20" s="6"/>
      <c r="I20" s="6"/>
    </row>
    <row r="21" spans="1:9" x14ac:dyDescent="0.3">
      <c r="A21" s="25"/>
      <c r="B21" s="10"/>
      <c r="C21" s="35"/>
      <c r="D21" s="11"/>
      <c r="E21" s="11"/>
      <c r="F21" s="11"/>
      <c r="G21" s="6"/>
      <c r="H21" s="6"/>
      <c r="I21" s="10"/>
    </row>
    <row r="22" spans="1:9" x14ac:dyDescent="0.3">
      <c r="A22" s="23"/>
      <c r="B22" s="6"/>
      <c r="C22" s="35"/>
      <c r="D22" s="7"/>
      <c r="E22" s="7"/>
      <c r="F22" s="7"/>
      <c r="G22" s="6"/>
      <c r="H22" s="6"/>
      <c r="I22" s="6"/>
    </row>
    <row r="23" spans="1:9" x14ac:dyDescent="0.3">
      <c r="A23" s="25"/>
      <c r="B23" s="10"/>
      <c r="C23" s="35"/>
      <c r="D23" s="11"/>
      <c r="E23" s="11"/>
      <c r="F23" s="11"/>
      <c r="G23" s="6"/>
      <c r="H23" s="6"/>
      <c r="I23" s="10"/>
    </row>
    <row r="24" spans="1:9" x14ac:dyDescent="0.3">
      <c r="A24" s="23"/>
      <c r="B24" s="6"/>
      <c r="C24" s="35"/>
      <c r="D24" s="7"/>
      <c r="E24" s="7"/>
      <c r="F24" s="7"/>
      <c r="G24" s="6"/>
      <c r="H24" s="6"/>
      <c r="I24" s="6"/>
    </row>
    <row r="25" spans="1:9" x14ac:dyDescent="0.3">
      <c r="A25" s="25"/>
      <c r="B25" s="10"/>
      <c r="C25" s="35"/>
      <c r="D25" s="11"/>
      <c r="E25" s="11"/>
      <c r="F25" s="11"/>
      <c r="G25" s="6"/>
      <c r="H25" s="6"/>
      <c r="I25" s="10"/>
    </row>
    <row r="26" spans="1:9" x14ac:dyDescent="0.3">
      <c r="A26" s="23"/>
      <c r="B26" s="6"/>
      <c r="C26" s="35"/>
      <c r="D26" s="7"/>
      <c r="E26" s="7"/>
      <c r="F26" s="7"/>
      <c r="G26" s="6"/>
      <c r="H26" s="6"/>
      <c r="I26" s="6"/>
    </row>
    <row r="27" spans="1:9" x14ac:dyDescent="0.3">
      <c r="A27" s="25"/>
      <c r="B27" s="10"/>
      <c r="C27" s="35"/>
      <c r="D27" s="11"/>
      <c r="E27" s="11"/>
      <c r="F27" s="11"/>
      <c r="G27" s="6"/>
      <c r="H27" s="6"/>
      <c r="I27" s="10"/>
    </row>
    <row r="28" spans="1:9" x14ac:dyDescent="0.3">
      <c r="A28" s="23"/>
      <c r="B28" s="6"/>
      <c r="C28" s="35"/>
      <c r="D28" s="7"/>
      <c r="E28" s="7"/>
      <c r="F28" s="7"/>
      <c r="G28" s="6"/>
      <c r="H28" s="6"/>
      <c r="I28" s="6"/>
    </row>
    <row r="29" spans="1:9" x14ac:dyDescent="0.3">
      <c r="A29" s="25"/>
      <c r="B29" s="10"/>
      <c r="C29" s="35"/>
      <c r="D29" s="11"/>
      <c r="E29" s="11"/>
      <c r="F29" s="11"/>
      <c r="G29" s="6"/>
      <c r="H29" s="6"/>
      <c r="I29" s="10"/>
    </row>
    <row r="30" spans="1:9" x14ac:dyDescent="0.3">
      <c r="A30" s="23"/>
      <c r="B30" s="6"/>
      <c r="C30" s="35"/>
      <c r="D30" s="7"/>
      <c r="E30" s="7"/>
      <c r="F30" s="7"/>
      <c r="G30" s="6"/>
      <c r="H30" s="6"/>
      <c r="I30" s="6"/>
    </row>
    <row r="31" spans="1:9" x14ac:dyDescent="0.3">
      <c r="A31" s="25"/>
      <c r="B31" s="10"/>
      <c r="C31" s="35"/>
      <c r="D31" s="11"/>
      <c r="E31" s="11"/>
      <c r="F31" s="11"/>
      <c r="G31" s="6"/>
      <c r="H31" s="6"/>
      <c r="I31" s="10"/>
    </row>
    <row r="32" spans="1:9" x14ac:dyDescent="0.3">
      <c r="A32" s="23"/>
      <c r="B32" s="6"/>
      <c r="C32" s="35"/>
      <c r="D32" s="7"/>
      <c r="E32" s="7"/>
      <c r="F32" s="7"/>
      <c r="G32" s="6"/>
      <c r="H32" s="6"/>
      <c r="I32" s="6"/>
    </row>
    <row r="33" spans="1:9" x14ac:dyDescent="0.3">
      <c r="A33" s="25"/>
      <c r="B33" s="10"/>
      <c r="C33" s="35"/>
      <c r="D33" s="11"/>
      <c r="E33" s="11"/>
      <c r="F33" s="11"/>
      <c r="G33" s="6"/>
      <c r="H33" s="6"/>
      <c r="I33" s="10"/>
    </row>
    <row r="34" spans="1:9" x14ac:dyDescent="0.3">
      <c r="A34" s="23"/>
      <c r="B34" s="6"/>
      <c r="C34" s="35"/>
      <c r="D34" s="7"/>
      <c r="E34" s="7"/>
      <c r="F34" s="7"/>
      <c r="G34" s="6"/>
      <c r="H34" s="6"/>
      <c r="I34" s="6"/>
    </row>
    <row r="35" spans="1:9" x14ac:dyDescent="0.3">
      <c r="A35" s="25"/>
      <c r="B35" s="10"/>
      <c r="C35" s="35"/>
      <c r="D35" s="11"/>
      <c r="E35" s="11"/>
      <c r="F35" s="11"/>
      <c r="G35" s="6"/>
      <c r="H35" s="6"/>
      <c r="I35" s="10"/>
    </row>
    <row r="36" spans="1:9" x14ac:dyDescent="0.3">
      <c r="A36" s="23"/>
      <c r="B36" s="6"/>
      <c r="C36" s="36"/>
      <c r="D36" s="7"/>
      <c r="E36" s="7"/>
      <c r="F36" s="7"/>
      <c r="G36" s="6"/>
      <c r="H36" s="6"/>
      <c r="I36" s="6"/>
    </row>
    <row r="37" spans="1:9" x14ac:dyDescent="0.3">
      <c r="A37" s="25"/>
      <c r="B37" s="10"/>
      <c r="C37" s="36"/>
      <c r="D37" s="11"/>
      <c r="E37" s="11"/>
      <c r="F37" s="11"/>
      <c r="G37" s="6"/>
      <c r="H37" s="6"/>
      <c r="I37" s="10"/>
    </row>
    <row r="38" spans="1:9" x14ac:dyDescent="0.3">
      <c r="A38" s="23"/>
      <c r="B38" s="6"/>
      <c r="C38" s="37"/>
      <c r="D38" s="7"/>
      <c r="E38" s="7"/>
      <c r="F38" s="7"/>
      <c r="G38" s="6"/>
      <c r="H38" s="6"/>
      <c r="I38" s="6"/>
    </row>
    <row r="39" spans="1:9" x14ac:dyDescent="0.3">
      <c r="A39" s="25"/>
      <c r="B39" s="10"/>
      <c r="C39" s="37"/>
      <c r="D39" s="11"/>
      <c r="E39" s="11"/>
      <c r="F39" s="11"/>
      <c r="G39" s="6"/>
      <c r="H39" s="6"/>
      <c r="I39" s="10"/>
    </row>
    <row r="40" spans="1:9" x14ac:dyDescent="0.3">
      <c r="A40" s="23"/>
      <c r="B40" s="6"/>
      <c r="C40" s="37"/>
      <c r="D40" s="7"/>
      <c r="E40" s="7"/>
      <c r="F40" s="7"/>
      <c r="G40" s="6"/>
      <c r="H40" s="6"/>
      <c r="I40" s="6"/>
    </row>
    <row r="41" spans="1:9" x14ac:dyDescent="0.3">
      <c r="A41" s="25"/>
      <c r="B41" s="10"/>
      <c r="C41" s="35"/>
      <c r="D41" s="11"/>
      <c r="E41" s="11"/>
      <c r="F41" s="11"/>
      <c r="G41" s="6"/>
      <c r="H41" s="6"/>
      <c r="I41" s="10"/>
    </row>
    <row r="42" spans="1:9" x14ac:dyDescent="0.3">
      <c r="A42" s="23"/>
      <c r="B42" s="6"/>
      <c r="C42" s="35"/>
      <c r="D42" s="7"/>
      <c r="E42" s="7"/>
      <c r="F42" s="7"/>
      <c r="G42" s="6"/>
      <c r="H42" s="6"/>
      <c r="I42" s="6"/>
    </row>
    <row r="43" spans="1:9" x14ac:dyDescent="0.3">
      <c r="A43" s="25"/>
      <c r="B43" s="10"/>
      <c r="C43" s="35"/>
      <c r="D43" s="11"/>
      <c r="E43" s="11"/>
      <c r="F43" s="11"/>
      <c r="G43" s="6"/>
      <c r="H43" s="6"/>
      <c r="I43" s="10"/>
    </row>
    <row r="45" spans="1:9" x14ac:dyDescent="0.3">
      <c r="B45" s="27" t="s">
        <v>42</v>
      </c>
      <c r="E45" s="28">
        <f>SUM(E2:E43)</f>
        <v>3</v>
      </c>
    </row>
    <row r="46" spans="1:9" x14ac:dyDescent="0.3">
      <c r="B46" s="27" t="s">
        <v>43</v>
      </c>
      <c r="E46" s="28">
        <f>SUMIF(F2:F43,"Feito",E2:E43)</f>
        <v>0.5</v>
      </c>
    </row>
    <row r="50" spans="2:2" x14ac:dyDescent="0.3">
      <c r="B50" t="s">
        <v>48</v>
      </c>
    </row>
    <row r="51" spans="2:2" x14ac:dyDescent="0.3">
      <c r="B51" t="s">
        <v>49</v>
      </c>
    </row>
    <row r="52" spans="2:2" x14ac:dyDescent="0.3">
      <c r="B52" t="s">
        <v>50</v>
      </c>
    </row>
    <row r="53" spans="2:2" x14ac:dyDescent="0.3">
      <c r="B53" t="s">
        <v>51</v>
      </c>
    </row>
    <row r="54" spans="2:2" x14ac:dyDescent="0.3">
      <c r="B54" t="s">
        <v>52</v>
      </c>
    </row>
  </sheetData>
  <autoFilter ref="A1:I43" xr:uid="{00000000-0009-0000-0000-000006000000}"/>
  <phoneticPr fontId="20" type="noConversion"/>
  <dataValidations count="2">
    <dataValidation type="list" allowBlank="1" sqref="F2:F43" xr:uid="{00000000-0002-0000-0600-000000000000}">
      <formula1>"Backlog,A Fazer,Fazendo,Em Review,Feito"</formula1>
      <formula2>0</formula2>
    </dataValidation>
    <dataValidation type="list" allowBlank="1" showInputMessage="1" showErrorMessage="1" sqref="G2:H43" xr:uid="{CBC1126C-0FA1-42B6-BED4-D779490D23D8}">
      <formula1>$B$50:$B$54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</vt:lpstr>
      <vt:lpstr>RadarNeuro</vt:lpstr>
      <vt:lpstr>EAgoraAdulto</vt:lpstr>
      <vt:lpstr>Sincronize</vt:lpstr>
      <vt:lpstr>Anbylize</vt:lpstr>
      <vt:lpstr>Monitorizador</vt:lpstr>
      <vt:lpstr>FlowUp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Edson Angoti Jr</cp:lastModifiedBy>
  <cp:revision>0</cp:revision>
  <dcterms:created xsi:type="dcterms:W3CDTF">2026-08-13T17:38:29Z</dcterms:created>
  <dcterms:modified xsi:type="dcterms:W3CDTF">2026-09-08T19:29:19Z</dcterms:modified>
  <dc:language>en-US</dc:language>
</cp:coreProperties>
</file>