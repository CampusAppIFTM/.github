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visaIF" sheetId="2" state="visible" r:id="rId4"/>
    <sheet name="IFinancas" sheetId="3" state="visible" r:id="rId5"/>
    <sheet name="iHelp" sheetId="4" state="visible" r:id="rId6"/>
    <sheet name="IFala" sheetId="5" state="visible" r:id="rId7"/>
    <sheet name="StudyDev" sheetId="6" state="visible" r:id="rId8"/>
    <sheet name="MonitoraIF" sheetId="7" state="visible" r:id="rId9"/>
  </sheets>
  <definedNames>
    <definedName function="false" hidden="true" localSheetId="1" name="_xlnm._FilterDatabase" vbProcedure="false">AvisaIF!$A$1:$I$27</definedName>
    <definedName function="false" hidden="true" localSheetId="4" name="_xlnm._FilterDatabase" vbProcedure="false">IFala!$A$1:$I$24</definedName>
    <definedName function="false" hidden="true" localSheetId="2" name="_xlnm._FilterDatabase" vbProcedure="false">IFinancas!$A$1:$I$25</definedName>
    <definedName function="false" hidden="true" localSheetId="3" name="_xlnm._FilterDatabase" vbProcedure="false">iHelp!$A$1:$I$21</definedName>
    <definedName function="false" hidden="true" localSheetId="6" name="_xlnm._FilterDatabase" vbProcedure="false">MonitoraIF!$A$1:$I$20</definedName>
    <definedName function="false" hidden="true" localSheetId="5" name="_xlnm._FilterDatabase" vbProcedure="false">StudyDev!$A$1:$I$24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<sst xmlns="http://schemas.openxmlformats.org/spreadsheetml/2006/main" count="772" uniqueCount="350">
  <si>
    <t xml:space="preserve">Campus App 2025 — Painel de Acompanhamento (Turma 3DS-A)</t>
  </si>
  <si>
    <t xml:space="preserve">Desenvolvimento de Dispositivos Móveis · IFTM Campus Uberlândia · Prof. Edson Angoti Júnior</t>
  </si>
  <si>
    <t xml:space="preserve">Equipe / Projeto</t>
  </si>
  <si>
    <t xml:space="preserve">Integrantes</t>
  </si>
  <si>
    <t xml:space="preserve">Total de cards</t>
  </si>
  <si>
    <t xml:space="preserve">Feito</t>
  </si>
  <si>
    <t xml:space="preserve">Fazendo</t>
  </si>
  <si>
    <t xml:space="preserve">Em Review</t>
  </si>
  <si>
    <t xml:space="preserve">A Fazer / Backlog</t>
  </si>
  <si>
    <t xml:space="preserve">% Concluído</t>
  </si>
  <si>
    <t xml:space="preserve">Aulas estimadas</t>
  </si>
  <si>
    <t xml:space="preserve">Aulas concluídas</t>
  </si>
  <si>
    <t xml:space="preserve">Avisa IF</t>
  </si>
  <si>
    <t xml:space="preserve">Rebeca, Adan, Alejandro, Enzo Eduardo, Enzo Leonardo</t>
  </si>
  <si>
    <t xml:space="preserve">IFinanças</t>
  </si>
  <si>
    <t xml:space="preserve">Davi Gonzaga, Gabelo, Gabriel Almeida, Vinicius Mendes</t>
  </si>
  <si>
    <t xml:space="preserve">iHelp</t>
  </si>
  <si>
    <t xml:space="preserve">Caio Gabriel, Vitória Sophia, Camille, Iago Borges, Daniel</t>
  </si>
  <si>
    <t xml:space="preserve">IFala</t>
  </si>
  <si>
    <t xml:space="preserve">Clara Lindemann, Davi Rodovalho, Enzo Ribeiro, Lucas Mercado</t>
  </si>
  <si>
    <t xml:space="preserve">StudyDev</t>
  </si>
  <si>
    <t xml:space="preserve">Iago Oliveira, Nicolas Bruno, Felipe Peixoto, Felipe Marques, Heitor Moreira</t>
  </si>
  <si>
    <t xml:space="preserve">MonitoraIF</t>
  </si>
  <si>
    <t xml:space="preserve">Heitor Leal, Gabriel Zumba, Otávio Rodrigues, João Lucas Sivieri</t>
  </si>
  <si>
    <t xml:space="preserve">TOTAL DA TURMA</t>
  </si>
  <si>
    <t xml:space="preserve">Como usar:</t>
  </si>
  <si>
    <t xml:space="preserve">1. Cada equipe tem uma aba com todos os cards (mesmos IDs dos arquivos 3DSA_Kanban_*.md).</t>
  </si>
  <si>
    <t xml:space="preserve">2. Atualize só as colunas Status e Responsável nas abas — o Dashboard recalcula sozinho.</t>
  </si>
  <si>
    <t xml:space="preserve">3. Status: Backlog · A Fazer · Fazendo · Em Review · Feito (lista suspensa na célula).</t>
  </si>
  <si>
    <t xml:space="preserve">4. Sprint: 1 = Sem. 5–6 · 2 = Sem. 7–8 · 3 = Sem. 9–10.</t>
  </si>
  <si>
    <t xml:space="preserve">5. Estimativas em aulas (1 aula ≈ 50 min). Aulas concluídas somam só cards com status Feito.</t>
  </si>
  <si>
    <t xml:space="preserve">ID</t>
  </si>
  <si>
    <t xml:space="preserve">Issue</t>
  </si>
  <si>
    <t xml:space="preserve">Card (atividade)</t>
  </si>
  <si>
    <t xml:space="preserve">Prioridade</t>
  </si>
  <si>
    <t xml:space="preserve">Sprint</t>
  </si>
  <si>
    <t xml:space="preserve">Est. (aulas)</t>
  </si>
  <si>
    <t xml:space="preserve">Status</t>
  </si>
  <si>
    <t xml:space="preserve">Responsável</t>
  </si>
  <si>
    <t xml:space="preserve">Observações</t>
  </si>
  <si>
    <t xml:space="preserve">AVI-01.1</t>
  </si>
  <si>
    <t xml:space="preserve">AVI-01</t>
  </si>
  <si>
    <t xml:space="preserve">Criar projeto Firebase e ativar Auth</t>
  </si>
  <si>
    <t xml:space="preserve">M</t>
  </si>
  <si>
    <t xml:space="preserve">A Fazer</t>
  </si>
  <si>
    <t xml:space="preserve">AVI-01.2</t>
  </si>
  <si>
    <t xml:space="preserve">UI das telas de Login e Cadastro</t>
  </si>
  <si>
    <t xml:space="preserve">AVI-01.3</t>
  </si>
  <si>
    <t xml:space="preserve">Integrar cadastro/login com Firebase Auth</t>
  </si>
  <si>
    <t xml:space="preserve">AVI-01.4</t>
  </si>
  <si>
    <t xml:space="preserve">AuthContext + navegação + persistência</t>
  </si>
  <si>
    <t xml:space="preserve">AVI-02.1</t>
  </si>
  <si>
    <t xml:space="preserve">AVI-02</t>
  </si>
  <si>
    <t xml:space="preserve">Coleção usuarios com campo papel</t>
  </si>
  <si>
    <t xml:space="preserve">AVI-02.2</t>
  </si>
  <si>
    <t xml:space="preserve">Expor papel no AuthContext</t>
  </si>
  <si>
    <t xml:space="preserve">AVI-02.3</t>
  </si>
  <si>
    <t xml:space="preserve">Header com aviso da semana (só grêmio)</t>
  </si>
  <si>
    <t xml:space="preserve">AVI-03.1</t>
  </si>
  <si>
    <t xml:space="preserve">AVI-03</t>
  </si>
  <si>
    <t xml:space="preserve">Modelar coleção grupos</t>
  </si>
  <si>
    <t xml:space="preserve">Backlog</t>
  </si>
  <si>
    <t xml:space="preserve">AVI-03.2</t>
  </si>
  <si>
    <t xml:space="preserve">UI criar grupo (nome + cor + código)</t>
  </si>
  <si>
    <t xml:space="preserve">AVI-03.3</t>
  </si>
  <si>
    <t xml:space="preserve">UI entrar via código</t>
  </si>
  <si>
    <t xml:space="preserve">AVI-03.4</t>
  </si>
  <si>
    <t xml:space="preserve">Componente CardGrupo colorido</t>
  </si>
  <si>
    <t xml:space="preserve">AVI-04.1</t>
  </si>
  <si>
    <t xml:space="preserve">AVI-04</t>
  </si>
  <si>
    <t xml:space="preserve">FlatList dos grupos do usuário</t>
  </si>
  <si>
    <t xml:space="preserve">AVI-04.2</t>
  </si>
  <si>
    <t xml:space="preserve">Botão + criar/entrar</t>
  </si>
  <si>
    <t xml:space="preserve">AVI-05.1</t>
  </si>
  <si>
    <t xml:space="preserve">AVI-05</t>
  </si>
  <si>
    <t xml:space="preserve">UI formulário de aviso</t>
  </si>
  <si>
    <t xml:space="preserve">AVI-05.2</t>
  </si>
  <si>
    <t xml:space="preserve">Gravar aviso na subcoleção do grupo</t>
  </si>
  <si>
    <t xml:space="preserve">AVI-06.1</t>
  </si>
  <si>
    <t xml:space="preserve">AVI-06</t>
  </si>
  <si>
    <t xml:space="preserve">Query dos avisos de todos os grupos</t>
  </si>
  <si>
    <t xml:space="preserve">AVI-06.2</t>
  </si>
  <si>
    <t xml:space="preserve">Agenda agrupada por dia com cor do grupo</t>
  </si>
  <si>
    <t xml:space="preserve">AVI-06.3</t>
  </si>
  <si>
    <t xml:space="preserve">Separar futuros e passados</t>
  </si>
  <si>
    <t xml:space="preserve">AVI-07.1</t>
  </si>
  <si>
    <t xml:space="preserve">AVI-07</t>
  </si>
  <si>
    <t xml:space="preserve">Marcar aviso como concluído (pessoal)</t>
  </si>
  <si>
    <t xml:space="preserve">AVI-07.2</t>
  </si>
  <si>
    <t xml:space="preserve">Estilo atenuado p/ concluídos</t>
  </si>
  <si>
    <t xml:space="preserve">AVI-08.1</t>
  </si>
  <si>
    <t xml:space="preserve">AVI-08</t>
  </si>
  <si>
    <t xml:space="preserve">Chips de grupo na agenda</t>
  </si>
  <si>
    <t xml:space="preserve">S</t>
  </si>
  <si>
    <t xml:space="preserve">AVI-09.1</t>
  </si>
  <si>
    <t xml:space="preserve">AVI-09</t>
  </si>
  <si>
    <t xml:space="preserve">expo-notifications + permissão</t>
  </si>
  <si>
    <t xml:space="preserve">AVI-09.2</t>
  </si>
  <si>
    <t xml:space="preserve">Notificação 1 dia antes do aviso</t>
  </si>
  <si>
    <t xml:space="preserve">AVI-10.1</t>
  </si>
  <si>
    <t xml:space="preserve">AVI-10</t>
  </si>
  <si>
    <t xml:space="preserve">Animações de transição</t>
  </si>
  <si>
    <t xml:space="preserve">C</t>
  </si>
  <si>
    <t xml:space="preserve">AVI-QA.1</t>
  </si>
  <si>
    <t xml:space="preserve">QA</t>
  </si>
  <si>
    <t xml:space="preserve">Teste cruzado + registro de bugs</t>
  </si>
  <si>
    <t xml:space="preserve">AVI-QA.2</t>
  </si>
  <si>
    <t xml:space="preserve">Corrigir bugs priorizados</t>
  </si>
  <si>
    <t xml:space="preserve">Total de aulas estimadas:</t>
  </si>
  <si>
    <t xml:space="preserve">Aulas concluídas (Feito):</t>
  </si>
  <si>
    <t xml:space="preserve">IFI-01.1</t>
  </si>
  <si>
    <t xml:space="preserve">IFI-01</t>
  </si>
  <si>
    <t xml:space="preserve">IFI-01.2</t>
  </si>
  <si>
    <t xml:space="preserve">IFI-01.3</t>
  </si>
  <si>
    <t xml:space="preserve">IFI-01.4</t>
  </si>
  <si>
    <t xml:space="preserve">AuthContext + persistência + regras por UID</t>
  </si>
  <si>
    <t xml:space="preserve">IFI-02.1</t>
  </si>
  <si>
    <t xml:space="preserve">IFI-02</t>
  </si>
  <si>
    <t xml:space="preserve">Modelar coleção transacoes/{uid}</t>
  </si>
  <si>
    <t xml:space="preserve">IFI-02.2</t>
  </si>
  <si>
    <t xml:space="preserve">UI formulário de gasto</t>
  </si>
  <si>
    <t xml:space="preserve">IFI-02.3</t>
  </si>
  <si>
    <t xml:space="preserve">Gravar gasto no Firestore</t>
  </si>
  <si>
    <t xml:space="preserve">IFI-03.1</t>
  </si>
  <si>
    <t xml:space="preserve">IFI-03</t>
  </si>
  <si>
    <t xml:space="preserve">Contexto (escola/fora) + categoria</t>
  </si>
  <si>
    <t xml:space="preserve">IFI-03.2</t>
  </si>
  <si>
    <t xml:space="preserve">Dashboard separa totais por contexto</t>
  </si>
  <si>
    <t xml:space="preserve">IFI-04.1</t>
  </si>
  <si>
    <t xml:space="preserve">IFI-04</t>
  </si>
  <si>
    <t xml:space="preserve">FlatList ordenada por data</t>
  </si>
  <si>
    <t xml:space="preserve">IFI-04.2</t>
  </si>
  <si>
    <t xml:space="preserve">Remover transação com confirmação</t>
  </si>
  <si>
    <t xml:space="preserve">IFI-05.1</t>
  </si>
  <si>
    <t xml:space="preserve">IFI-05</t>
  </si>
  <si>
    <t xml:space="preserve">Calcular totais do mês</t>
  </si>
  <si>
    <t xml:space="preserve">IFI-05.2</t>
  </si>
  <si>
    <t xml:space="preserve">Cartões informativos no painel</t>
  </si>
  <si>
    <t xml:space="preserve">IFI-05.3</t>
  </si>
  <si>
    <t xml:space="preserve">Atualização automática</t>
  </si>
  <si>
    <t xml:space="preserve">IFI-06.1</t>
  </si>
  <si>
    <t xml:space="preserve">IFI-06</t>
  </si>
  <si>
    <t xml:space="preserve">Avaliar/decidir lib de gráfico</t>
  </si>
  <si>
    <t xml:space="preserve">IFI-06.2</t>
  </si>
  <si>
    <t xml:space="preserve">Gráfico por categoria com legenda</t>
  </si>
  <si>
    <t xml:space="preserve">IFI-07.1</t>
  </si>
  <si>
    <t xml:space="preserve">IFI-07</t>
  </si>
  <si>
    <t xml:space="preserve">Definir limite mensal no perfil</t>
  </si>
  <si>
    <t xml:space="preserve">IFI-07.2</t>
  </si>
  <si>
    <t xml:space="preserve">Aviso ao ultrapassar limite</t>
  </si>
  <si>
    <t xml:space="preserve">IFI-08.1</t>
  </si>
  <si>
    <t xml:space="preserve">IFI-08</t>
  </si>
  <si>
    <t xml:space="preserve">Cadastro de meta (valor + prazo)</t>
  </si>
  <si>
    <t xml:space="preserve">IFI-08.2</t>
  </si>
  <si>
    <t xml:space="preserve">Barra de progresso da meta</t>
  </si>
  <si>
    <t xml:space="preserve">IFI-09.1</t>
  </si>
  <si>
    <t xml:space="preserve">IFI-09</t>
  </si>
  <si>
    <t xml:space="preserve">Seletor de mês/ano</t>
  </si>
  <si>
    <t xml:space="preserve">IFI-09.2</t>
  </si>
  <si>
    <t xml:space="preserve">Resumo do mês selecionado</t>
  </si>
  <si>
    <t xml:space="preserve">IFI-QA.1</t>
  </si>
  <si>
    <t xml:space="preserve">IFI-QA.2</t>
  </si>
  <si>
    <t xml:space="preserve">IHP-01.1</t>
  </si>
  <si>
    <t xml:space="preserve">IHP-01</t>
  </si>
  <si>
    <t xml:space="preserve">IHP-01.2</t>
  </si>
  <si>
    <t xml:space="preserve">UI Login/Cadastro com seleção de tipo</t>
  </si>
  <si>
    <t xml:space="preserve">IHP-01.3</t>
  </si>
  <si>
    <t xml:space="preserve">Integrar Auth + coleção usuarios com tipo</t>
  </si>
  <si>
    <t xml:space="preserve">IHP-01.4</t>
  </si>
  <si>
    <t xml:space="preserve">IHP-02.1</t>
  </si>
  <si>
    <t xml:space="preserve">IHP-02</t>
  </si>
  <si>
    <t xml:space="preserve">Modelar coleção prestadores</t>
  </si>
  <si>
    <t xml:space="preserve">IHP-02.2</t>
  </si>
  <si>
    <t xml:space="preserve">UI formulário de perfil profissional</t>
  </si>
  <si>
    <t xml:space="preserve">IHP-02.3</t>
  </si>
  <si>
    <t xml:space="preserve">Gravar/editar perfil no Firestore</t>
  </si>
  <si>
    <t xml:space="preserve">IHP-03.1</t>
  </si>
  <si>
    <t xml:space="preserve">IHP-03</t>
  </si>
  <si>
    <t xml:space="preserve">Componente CardPrestador</t>
  </si>
  <si>
    <t xml:space="preserve">IHP-03.2</t>
  </si>
  <si>
    <t xml:space="preserve">FlatList carregando do Firestore</t>
  </si>
  <si>
    <t xml:space="preserve">IHP-04.1</t>
  </si>
  <si>
    <t xml:space="preserve">IHP-04</t>
  </si>
  <si>
    <t xml:space="preserve">UI da tela de detalhe</t>
  </si>
  <si>
    <t xml:space="preserve">IHP-04.2</t>
  </si>
  <si>
    <t xml:space="preserve">Contato via deep link</t>
  </si>
  <si>
    <t xml:space="preserve">IHP-05.1</t>
  </si>
  <si>
    <t xml:space="preserve">IHP-05</t>
  </si>
  <si>
    <t xml:space="preserve">Definir lista de categorias</t>
  </si>
  <si>
    <t xml:space="preserve">IHP-05.2</t>
  </si>
  <si>
    <t xml:space="preserve">Tela inicial com categorias</t>
  </si>
  <si>
    <t xml:space="preserve">IHP-06.1</t>
  </si>
  <si>
    <t xml:space="preserve">IHP-06</t>
  </si>
  <si>
    <t xml:space="preserve">Tela de edição do perfil</t>
  </si>
  <si>
    <t xml:space="preserve">IHP-07.1</t>
  </si>
  <si>
    <t xml:space="preserve">IHP-07</t>
  </si>
  <si>
    <t xml:space="preserve">Avaliação 1–5 estrelas</t>
  </si>
  <si>
    <t xml:space="preserve">IHP-07.2</t>
  </si>
  <si>
    <t xml:space="preserve">Média no card e no detalhe</t>
  </si>
  <si>
    <t xml:space="preserve">IHP-08.1</t>
  </si>
  <si>
    <t xml:space="preserve">IHP-08</t>
  </si>
  <si>
    <t xml:space="preserve">Barra de pesquisa</t>
  </si>
  <si>
    <t xml:space="preserve">IHP-09.1</t>
  </si>
  <si>
    <t xml:space="preserve">IHP-09</t>
  </si>
  <si>
    <t xml:space="preserve">Filtro por categoria</t>
  </si>
  <si>
    <t xml:space="preserve">IHP-QA.1</t>
  </si>
  <si>
    <t xml:space="preserve">IHP-QA.2</t>
  </si>
  <si>
    <t xml:space="preserve">IFA-01.1</t>
  </si>
  <si>
    <t xml:space="preserve">IFA-01</t>
  </si>
  <si>
    <t xml:space="preserve">IFA-01.2</t>
  </si>
  <si>
    <t xml:space="preserve">IFA-01.3</t>
  </si>
  <si>
    <t xml:space="preserve">Integrar Auth + validação de domínio</t>
  </si>
  <si>
    <t xml:space="preserve">IFA-01.4</t>
  </si>
  <si>
    <t xml:space="preserve">AuthContext + persistência</t>
  </si>
  <si>
    <t xml:space="preserve">IFA-02.1</t>
  </si>
  <si>
    <t xml:space="preserve">IFA-02</t>
  </si>
  <si>
    <t xml:space="preserve">Coleção usuarios com papel</t>
  </si>
  <si>
    <t xml:space="preserve">IFA-02.2</t>
  </si>
  <si>
    <t xml:space="preserve">Navegação condicional por papel</t>
  </si>
  <si>
    <t xml:space="preserve">IFA-03.1</t>
  </si>
  <si>
    <t xml:space="preserve">IFA-03</t>
  </si>
  <si>
    <t xml:space="preserve">Modelar coleção reclamacoes</t>
  </si>
  <si>
    <t xml:space="preserve">IFA-03.2</t>
  </si>
  <si>
    <t xml:space="preserve">UI formulário (categoria + texto)</t>
  </si>
  <si>
    <t xml:space="preserve">IFA-03.3</t>
  </si>
  <si>
    <t xml:space="preserve">Gravar com status aberta + confirmação</t>
  </si>
  <si>
    <t xml:space="preserve">IFA-04.1</t>
  </si>
  <si>
    <t xml:space="preserve">IFA-04</t>
  </si>
  <si>
    <t xml:space="preserve">Regras Firestore ocultam autorUid</t>
  </si>
  <si>
    <t xml:space="preserve">IFA-04.2</t>
  </si>
  <si>
    <t xml:space="preserve">Texto de transparência (privacidade)</t>
  </si>
  <si>
    <t xml:space="preserve">IFA-05.1</t>
  </si>
  <si>
    <t xml:space="preserve">IFA-05</t>
  </si>
  <si>
    <t xml:space="preserve">Lista das próprias reclamações</t>
  </si>
  <si>
    <t xml:space="preserve">IFA-05.2</t>
  </si>
  <si>
    <t xml:space="preserve">Detalhe com resposta da coordenação</t>
  </si>
  <si>
    <t xml:space="preserve">IFA-06.1</t>
  </si>
  <si>
    <t xml:space="preserve">IFA-06</t>
  </si>
  <si>
    <t xml:space="preserve">Painel sem identificação do autor</t>
  </si>
  <si>
    <t xml:space="preserve">IFA-06.2</t>
  </si>
  <si>
    <t xml:space="preserve">Abrir detalhe para análise</t>
  </si>
  <si>
    <t xml:space="preserve">IFA-07.1</t>
  </si>
  <si>
    <t xml:space="preserve">IFA-07</t>
  </si>
  <si>
    <t xml:space="preserve">Campo de resposta + mudança de status</t>
  </si>
  <si>
    <t xml:space="preserve">IFA-07.2</t>
  </si>
  <si>
    <t xml:space="preserve">Resposta reflete via onSnapshot</t>
  </si>
  <si>
    <t xml:space="preserve">IFA-08.1</t>
  </si>
  <si>
    <t xml:space="preserve">IFA-08</t>
  </si>
  <si>
    <t xml:space="preserve">Filtrar por categoria</t>
  </si>
  <si>
    <t xml:space="preserve">IFA-09.1</t>
  </si>
  <si>
    <t xml:space="preserve">IFA-09</t>
  </si>
  <si>
    <t xml:space="preserve">Anexar evidência (foto)</t>
  </si>
  <si>
    <t xml:space="preserve">IFA-09.2</t>
  </si>
  <si>
    <t xml:space="preserve">Imagem no detalhe sem expor autor</t>
  </si>
  <si>
    <t xml:space="preserve">IFA-QA.1</t>
  </si>
  <si>
    <t xml:space="preserve">IFA-QA.2</t>
  </si>
  <si>
    <t xml:space="preserve">IFA-QA.3</t>
  </si>
  <si>
    <t xml:space="preserve">Revisar proteção do autor (cenário real)</t>
  </si>
  <si>
    <t xml:space="preserve">STD-01.1</t>
  </si>
  <si>
    <t xml:space="preserve">STD-01</t>
  </si>
  <si>
    <t xml:space="preserve">STD-01.2</t>
  </si>
  <si>
    <t xml:space="preserve">STD-01.3</t>
  </si>
  <si>
    <t xml:space="preserve">Integrar Auth + AuthContext + persistência</t>
  </si>
  <si>
    <t xml:space="preserve">STD-02.1</t>
  </si>
  <si>
    <t xml:space="preserve">STD-02</t>
  </si>
  <si>
    <t xml:space="preserve">Documentar schema de progresso</t>
  </si>
  <si>
    <t xml:space="preserve">STD-02.2</t>
  </si>
  <si>
    <t xml:space="preserve">Criar progresso/{uid} + hook useProgresso</t>
  </si>
  <si>
    <t xml:space="preserve">STD-03.1</t>
  </si>
  <si>
    <t xml:space="preserve">STD-03</t>
  </si>
  <si>
    <t xml:space="preserve">Schema da aula + 1 aula-modelo</t>
  </si>
  <si>
    <t xml:space="preserve">STD-03.2</t>
  </si>
  <si>
    <t xml:space="preserve">Escrever trilha 1 (3 mód × 3 aulas)</t>
  </si>
  <si>
    <t xml:space="preserve">STD-03.3</t>
  </si>
  <si>
    <t xml:space="preserve">Escrever trilha 2 (3 mód × 3 aulas)</t>
  </si>
  <si>
    <t xml:space="preserve">STD-03.4</t>
  </si>
  <si>
    <t xml:space="preserve">Carregar trilhas no Firestore</t>
  </si>
  <si>
    <t xml:space="preserve">STD-04.1</t>
  </si>
  <si>
    <t xml:space="preserve">STD-04</t>
  </si>
  <si>
    <t xml:space="preserve">Componente CardTrilha com progresso</t>
  </si>
  <si>
    <t xml:space="preserve">STD-04.2</t>
  </si>
  <si>
    <t xml:space="preserve">Grid de trilhas (Firestore)</t>
  </si>
  <si>
    <t xml:space="preserve">STD-05.1</t>
  </si>
  <si>
    <t xml:space="preserve">STD-05</t>
  </si>
  <si>
    <t xml:space="preserve">Aulas agrupadas por módulo</t>
  </si>
  <si>
    <t xml:space="preserve">STD-05.2</t>
  </si>
  <si>
    <t xml:space="preserve">Navegação aula → conteúdo</t>
  </si>
  <si>
    <t xml:space="preserve">STD-06.1</t>
  </si>
  <si>
    <t xml:space="preserve">STD-06</t>
  </si>
  <si>
    <t xml:space="preserve">UI do conteúdo (texto + vídeo opcional)</t>
  </si>
  <si>
    <t xml:space="preserve">STD-06.2</t>
  </si>
  <si>
    <t xml:space="preserve">Marcar como concluída + progresso</t>
  </si>
  <si>
    <t xml:space="preserve">STD-07.1</t>
  </si>
  <si>
    <t xml:space="preserve">STD-07</t>
  </si>
  <si>
    <t xml:space="preserve">Contador de streak</t>
  </si>
  <si>
    <t xml:space="preserve">STD-07.2</t>
  </si>
  <si>
    <t xml:space="preserve">Mensagem motivacional diária</t>
  </si>
  <si>
    <t xml:space="preserve">STD-08.1</t>
  </si>
  <si>
    <t xml:space="preserve">STD-08</t>
  </si>
  <si>
    <t xml:space="preserve">STD-08.2</t>
  </si>
  <si>
    <t xml:space="preserve">Lembrete diário em horário escolhido</t>
  </si>
  <si>
    <t xml:space="preserve">STD-09.1</t>
  </si>
  <si>
    <t xml:space="preserve">STD-09</t>
  </si>
  <si>
    <t xml:space="preserve">Modo escuro (ThemeContext)</t>
  </si>
  <si>
    <t xml:space="preserve">STD-QA.1</t>
  </si>
  <si>
    <t xml:space="preserve">STD-QA.2</t>
  </si>
  <si>
    <t xml:space="preserve">STD-QA.3</t>
  </si>
  <si>
    <t xml:space="preserve">Revisão de conteúdo das trilhas</t>
  </si>
  <si>
    <t xml:space="preserve">MIF-01.1</t>
  </si>
  <si>
    <t xml:space="preserve">MIF-01</t>
  </si>
  <si>
    <t xml:space="preserve">MIF-01.2</t>
  </si>
  <si>
    <t xml:space="preserve">MIF-01.3</t>
  </si>
  <si>
    <t xml:space="preserve">MIF-02.1</t>
  </si>
  <si>
    <t xml:space="preserve">MIF-02</t>
  </si>
  <si>
    <t xml:space="preserve">Coleção usuarios com papel + seleção</t>
  </si>
  <si>
    <t xml:space="preserve">MIF-02.2</t>
  </si>
  <si>
    <t xml:space="preserve">Expor papel + permissões</t>
  </si>
  <si>
    <t xml:space="preserve">MIF-03.1</t>
  </si>
  <si>
    <t xml:space="preserve">MIF-03</t>
  </si>
  <si>
    <t xml:space="preserve">Modelar coleção duvidas</t>
  </si>
  <si>
    <t xml:space="preserve">MIF-03.2</t>
  </si>
  <si>
    <t xml:space="preserve">UI formulário (matéria, título, descrição)</t>
  </si>
  <si>
    <t xml:space="preserve">MIF-03.3</t>
  </si>
  <si>
    <t xml:space="preserve">Gravar dúvida com status aberta</t>
  </si>
  <si>
    <t xml:space="preserve">MIF-04.1</t>
  </si>
  <si>
    <t xml:space="preserve">MIF-04</t>
  </si>
  <si>
    <t xml:space="preserve">Componente CardDuvida</t>
  </si>
  <si>
    <t xml:space="preserve">MIF-04.2</t>
  </si>
  <si>
    <t xml:space="preserve">FlatList com onSnapshot</t>
  </si>
  <si>
    <t xml:space="preserve">MIF-05.1</t>
  </si>
  <si>
    <t xml:space="preserve">MIF-05</t>
  </si>
  <si>
    <t xml:space="preserve">UI do detalhe (dúvida + respostas)</t>
  </si>
  <si>
    <t xml:space="preserve">MIF-06.1</t>
  </si>
  <si>
    <t xml:space="preserve">MIF-06</t>
  </si>
  <si>
    <t xml:space="preserve">Subcoleção respostas + campo (só monitor)</t>
  </si>
  <si>
    <t xml:space="preserve">MIF-06.2</t>
  </si>
  <si>
    <t xml:space="preserve">Respostas em tempo real + status</t>
  </si>
  <si>
    <t xml:space="preserve">MIF-07.1</t>
  </si>
  <si>
    <t xml:space="preserve">MIF-07</t>
  </si>
  <si>
    <t xml:space="preserve">Botão Resolvida (só autor)</t>
  </si>
  <si>
    <t xml:space="preserve">MIF-08.1</t>
  </si>
  <si>
    <t xml:space="preserve">MIF-08</t>
  </si>
  <si>
    <t xml:space="preserve">Monitor cadastra horários</t>
  </si>
  <si>
    <t xml:space="preserve">MIF-08.2</t>
  </si>
  <si>
    <t xml:space="preserve">Aluno visualiza horários</t>
  </si>
  <si>
    <t xml:space="preserve">MIF-09.1</t>
  </si>
  <si>
    <t xml:space="preserve">MIF-09</t>
  </si>
  <si>
    <t xml:space="preserve">Filtrar dúvidas por matéria</t>
  </si>
  <si>
    <t xml:space="preserve">MIF-QA.1</t>
  </si>
  <si>
    <t xml:space="preserve">MIF-QA.2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</si>
</sst>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761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"/>
      <color rgb="FFF97316"/>
      <name val="Arial"/>
      <family val="0"/>
      <charset val="1"/>
    </font>
    <font>
      <b val="true"/>
      <sz val="10"/>
      <color rgb="FF0E7490"/>
      <name val="Arial"/>
      <family val="0"/>
      <charset val="1"/>
    </font>
    <font>
      <b val="true"/>
      <sz val="10"/>
      <color rgb="FF0891B2"/>
      <name val="Arial"/>
      <family val="0"/>
      <charset val="1"/>
    </font>
    <font>
      <b val="true"/>
      <sz val="10"/>
      <color rgb="FF059669"/>
      <name val="Arial"/>
      <family val="0"/>
      <charset val="1"/>
    </font>
    <font>
      <b val="true"/>
      <sz val="10"/>
      <color rgb="FF1E2761"/>
      <name val="Arial"/>
      <family val="0"/>
      <charset val="1"/>
    </font>
    <font>
      <sz val="9"/>
      <color rgb="FF475569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CA8A04"/>
      <name val="Arial"/>
      <family val="0"/>
      <charset val="1"/>
    </font>
    <font>
      <b val="true"/>
      <sz val="10"/>
      <color rgb="FF64748B"/>
      <name val="Arial"/>
      <family val="0"/>
      <charset val="1"/>
    </font>
    <font>
      <b val="true"/>
      <sz val="10"/>
      <color rgb="FF1E293B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E2761"/>
        <bgColor rgb="FF1E293B"/>
      </patternFill>
    </fill>
    <fill>
      <patternFill patternType="solid">
        <fgColor rgb="FFF1F5F9"/>
        <bgColor rgb="FFFFFFFF"/>
      </patternFill>
    </fill>
    <fill>
      <patternFill patternType="solid">
        <fgColor rgb="FFFFFFFF"/>
        <bgColor rgb="FFF1F5F9"/>
      </patternFill>
    </fill>
    <fill>
      <patternFill patternType="solid">
        <fgColor rgb="FF7C3AED"/>
        <bgColor rgb="FF993366"/>
      </patternFill>
    </fill>
    <fill>
      <patternFill patternType="solid">
        <fgColor rgb="FFFEE2E2"/>
        <bgColor rgb="FFE2E8F0"/>
      </patternFill>
    </fill>
    <fill>
      <patternFill patternType="solid">
        <fgColor rgb="FFFEF9C3"/>
        <bgColor rgb="FFFFFF99"/>
      </patternFill>
    </fill>
    <fill>
      <patternFill patternType="solid">
        <fgColor rgb="FFE2E8F0"/>
        <bgColor rgb="FFF1F5F9"/>
      </patternFill>
    </fill>
    <fill>
      <patternFill patternType="solid">
        <fgColor rgb="FFF97316"/>
        <bgColor rgb="FFCA8A04"/>
      </patternFill>
    </fill>
    <fill>
      <patternFill patternType="solid">
        <fgColor rgb="FF0E7490"/>
        <bgColor rgb="FF0891B2"/>
      </patternFill>
    </fill>
    <fill>
      <patternFill patternType="solid">
        <fgColor rgb="FF0891B2"/>
        <bgColor rgb="FF059669"/>
      </patternFill>
    </fill>
    <fill>
      <patternFill patternType="solid">
        <fgColor rgb="FF059669"/>
        <bgColor rgb="FF0891B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7C3AED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E2761"/>
          <bgColor rgb="FF000000"/>
        </patternFill>
      </fill>
    </dxf>
    <dxf>
      <fill>
        <patternFill patternType="solid">
          <fgColor rgb="FF64748B"/>
          <bgColor rgb="FF000000"/>
        </patternFill>
      </fill>
    </dxf>
    <dxf>
      <fill>
        <patternFill patternType="solid">
          <fgColor rgb="FF1E293B"/>
          <bgColor rgb="FF000000"/>
        </patternFill>
      </fill>
    </dxf>
    <dxf>
      <fill>
        <patternFill patternType="solid">
          <fgColor rgb="FFE2E8F0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9C3"/>
          <bgColor rgb="FF000000"/>
        </patternFill>
      </fill>
    </dxf>
    <dxf>
      <fill>
        <patternFill patternType="solid">
          <fgColor rgb="FFCA8A04"/>
          <bgColor rgb="FF000000"/>
        </patternFill>
      </fill>
    </dxf>
    <dxf>
      <fill>
        <patternFill patternType="solid">
          <fgColor rgb="FFDC2626"/>
          <bgColor rgb="FF000000"/>
        </patternFill>
      </fill>
    </dxf>
    <dxf>
      <fill>
        <patternFill patternType="solid">
          <fgColor rgb="FFF97316"/>
          <bgColor rgb="FF000000"/>
        </patternFill>
      </fill>
    </dxf>
    <dxf>
      <fill>
        <patternFill patternType="solid">
          <fgColor rgb="FF0E7490"/>
          <bgColor rgb="FF000000"/>
        </patternFill>
      </fill>
    </dxf>
    <dxf>
      <fill>
        <patternFill patternType="solid">
          <fgColor rgb="FF0891B2"/>
          <bgColor rgb="FF000000"/>
        </patternFill>
      </fill>
    </dxf>
    <dxf>
      <fill>
        <patternFill patternType="solid">
          <fgColor rgb="FF059669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CCCCCC"/>
      <rgbColor rgb="FF808080"/>
      <rgbColor rgb="FF9999FF"/>
      <rgbColor rgb="FF7C3AED"/>
      <rgbColor rgb="FFFEF9C3"/>
      <rgbColor rgb="FFF1F5F9"/>
      <rgbColor rgb="FF660066"/>
      <rgbColor rgb="FFFF8080"/>
      <rgbColor rgb="FF0891B2"/>
      <rgbColor rgb="FFCCCCFF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CA8A04"/>
      <rgbColor rgb="FFF97316"/>
      <rgbColor rgb="FF64748B"/>
      <rgbColor rgb="FF969696"/>
      <rgbColor rgb="FF1E2761"/>
      <rgbColor rgb="FF339966"/>
      <rgbColor rgb="FF003300"/>
      <rgbColor rgb="FF333300"/>
      <rgbColor rgb="FF993300"/>
      <rgbColor rgb="FF993366"/>
      <rgbColor rgb="FF47556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7.75" hidden="false" customHeight="tru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</row>
    <row r="6" customFormat="false" ht="23.85" hidden="false" customHeight="false" outlineLevel="0" collapsed="false">
      <c r="B6" s="4" t="s">
        <v>12</v>
      </c>
      <c r="C6" s="5" t="s">
        <v>13</v>
      </c>
      <c r="D6" s="6" t="n">
        <f aca="false">COUNTA(AvisaIF!A2:A27)</f>
        <v>26</v>
      </c>
      <c r="E6" s="6" t="n">
        <f aca="false">COUNTIF(AvisaIF!G2:G27,"Feito")</f>
        <v>0</v>
      </c>
      <c r="F6" s="6" t="n">
        <f aca="false">COUNTIF(AvisaIF!G2:G27,"Fazendo")</f>
        <v>0</v>
      </c>
      <c r="G6" s="6" t="n">
        <f aca="false">COUNTIF(AvisaIF!G2:G27,"Em Review")</f>
        <v>0</v>
      </c>
      <c r="H6" s="6" t="n">
        <f aca="false">COUNTIF(AvisaIF!G2:G27,"A Fazer")+COUNTIF(AvisaIF!G2:G27,"Backlog")</f>
        <v>26</v>
      </c>
      <c r="I6" s="7" t="n">
        <f aca="false">IF(D6=0,0,E6/D6)</f>
        <v>0</v>
      </c>
      <c r="J6" s="6" t="n">
        <f aca="false">SUM(AvisaIF!F2:F27)</f>
        <v>25.5</v>
      </c>
      <c r="K6" s="6" t="n">
        <f aca="false">SUMIF(AvisaIF!G2:G27,"Feito",AvisaIF!F2:F27)</f>
        <v>0</v>
      </c>
    </row>
    <row r="7" customFormat="false" ht="23.85" hidden="false" customHeight="false" outlineLevel="0" collapsed="false">
      <c r="B7" s="8" t="s">
        <v>14</v>
      </c>
      <c r="C7" s="9" t="s">
        <v>15</v>
      </c>
      <c r="D7" s="10" t="n">
        <f aca="false">COUNTA(IFinancas!A2:A25)</f>
        <v>24</v>
      </c>
      <c r="E7" s="10" t="n">
        <f aca="false">COUNTIF(IFinancas!G2:G25,"Feito")</f>
        <v>0</v>
      </c>
      <c r="F7" s="10" t="n">
        <f aca="false">COUNTIF(IFinancas!G2:G25,"Fazendo")</f>
        <v>0</v>
      </c>
      <c r="G7" s="10" t="n">
        <f aca="false">COUNTIF(IFinancas!G2:G25,"Em Review")</f>
        <v>0</v>
      </c>
      <c r="H7" s="10" t="n">
        <f aca="false">COUNTIF(IFinancas!G2:G25,"A Fazer")+COUNTIF(IFinancas!G2:G25,"Backlog")</f>
        <v>24</v>
      </c>
      <c r="I7" s="11" t="n">
        <f aca="false">IF(D7=0,0,E7/D7)</f>
        <v>0</v>
      </c>
      <c r="J7" s="10" t="n">
        <f aca="false">SUM(IFinancas!F2:F25)</f>
        <v>25</v>
      </c>
      <c r="K7" s="10" t="n">
        <f aca="false">SUMIF(IFinancas!G2:G25,"Feito",IFinancas!F2:F25)</f>
        <v>0</v>
      </c>
    </row>
    <row r="8" customFormat="false" ht="23.85" hidden="false" customHeight="false" outlineLevel="0" collapsed="false">
      <c r="B8" s="12" t="s">
        <v>16</v>
      </c>
      <c r="C8" s="5" t="s">
        <v>17</v>
      </c>
      <c r="D8" s="6" t="n">
        <f aca="false">COUNTA(iHelp!A2:A21)</f>
        <v>20</v>
      </c>
      <c r="E8" s="6" t="n">
        <f aca="false">COUNTIF(iHelp!G2:G21,"Feito")</f>
        <v>0</v>
      </c>
      <c r="F8" s="6" t="n">
        <f aca="false">COUNTIF(iHelp!G2:G21,"Fazendo")</f>
        <v>0</v>
      </c>
      <c r="G8" s="6" t="n">
        <f aca="false">COUNTIF(iHelp!G2:G21,"Em Review")</f>
        <v>0</v>
      </c>
      <c r="H8" s="6" t="n">
        <f aca="false">COUNTIF(iHelp!G2:G21,"A Fazer")+COUNTIF(iHelp!G2:G21,"Backlog")</f>
        <v>20</v>
      </c>
      <c r="I8" s="7" t="n">
        <f aca="false">IF(D8=0,0,E8/D8)</f>
        <v>0</v>
      </c>
      <c r="J8" s="6" t="n">
        <f aca="false">SUM(iHelp!F2:F21)</f>
        <v>22</v>
      </c>
      <c r="K8" s="6" t="n">
        <f aca="false">SUMIF(iHelp!G2:G21,"Feito",iHelp!F2:F21)</f>
        <v>0</v>
      </c>
    </row>
    <row r="9" customFormat="false" ht="23.85" hidden="false" customHeight="false" outlineLevel="0" collapsed="false">
      <c r="B9" s="13" t="s">
        <v>18</v>
      </c>
      <c r="C9" s="9" t="s">
        <v>19</v>
      </c>
      <c r="D9" s="10" t="n">
        <f aca="false">COUNTA(IFala!A2:A24)</f>
        <v>23</v>
      </c>
      <c r="E9" s="10" t="n">
        <f aca="false">COUNTIF(IFala!G2:G24,"Feito")</f>
        <v>0</v>
      </c>
      <c r="F9" s="10" t="n">
        <f aca="false">COUNTIF(IFala!G2:G24,"Fazendo")</f>
        <v>0</v>
      </c>
      <c r="G9" s="10" t="n">
        <f aca="false">COUNTIF(IFala!G2:G24,"Em Review")</f>
        <v>0</v>
      </c>
      <c r="H9" s="10" t="n">
        <f aca="false">COUNTIF(IFala!G2:G24,"A Fazer")+COUNTIF(IFala!G2:G24,"Backlog")</f>
        <v>23</v>
      </c>
      <c r="I9" s="11" t="n">
        <f aca="false">IF(D9=0,0,E9/D9)</f>
        <v>0</v>
      </c>
      <c r="J9" s="10" t="n">
        <f aca="false">SUM(IFala!F2:F24)</f>
        <v>23.5</v>
      </c>
      <c r="K9" s="10" t="n">
        <f aca="false">SUMIF(IFala!G2:G24,"Feito",IFala!F2:F24)</f>
        <v>0</v>
      </c>
    </row>
    <row r="10" customFormat="false" ht="23.85" hidden="false" customHeight="false" outlineLevel="0" collapsed="false">
      <c r="B10" s="14" t="s">
        <v>20</v>
      </c>
      <c r="C10" s="5" t="s">
        <v>21</v>
      </c>
      <c r="D10" s="6" t="n">
        <f aca="false">COUNTA(StudyDev!A2:A24)</f>
        <v>23</v>
      </c>
      <c r="E10" s="6" t="n">
        <f aca="false">COUNTIF(StudyDev!G2:G24,"Feito")</f>
        <v>0</v>
      </c>
      <c r="F10" s="6" t="n">
        <f aca="false">COUNTIF(StudyDev!G2:G24,"Fazendo")</f>
        <v>0</v>
      </c>
      <c r="G10" s="6" t="n">
        <f aca="false">COUNTIF(StudyDev!G2:G24,"Em Review")</f>
        <v>0</v>
      </c>
      <c r="H10" s="6" t="n">
        <f aca="false">COUNTIF(StudyDev!G2:G24,"A Fazer")+COUNTIF(StudyDev!G2:G24,"Backlog")</f>
        <v>23</v>
      </c>
      <c r="I10" s="7" t="n">
        <f aca="false">IF(D10=0,0,E10/D10)</f>
        <v>0</v>
      </c>
      <c r="J10" s="6" t="n">
        <f aca="false">SUM(StudyDev!F2:F24)</f>
        <v>26.5</v>
      </c>
      <c r="K10" s="6" t="n">
        <f aca="false">SUMIF(StudyDev!G2:G24,"Feito",StudyDev!F2:F24)</f>
        <v>0</v>
      </c>
    </row>
    <row r="11" customFormat="false" ht="23.85" hidden="false" customHeight="false" outlineLevel="0" collapsed="false">
      <c r="B11" s="15" t="s">
        <v>22</v>
      </c>
      <c r="C11" s="9" t="s">
        <v>23</v>
      </c>
      <c r="D11" s="10" t="n">
        <f aca="false">COUNTA(MonitoraIF!A2:A20)</f>
        <v>19</v>
      </c>
      <c r="E11" s="10" t="n">
        <f aca="false">COUNTIF(MonitoraIF!G2:G20,"Feito")</f>
        <v>0</v>
      </c>
      <c r="F11" s="10" t="n">
        <f aca="false">COUNTIF(MonitoraIF!G2:G20,"Fazendo")</f>
        <v>0</v>
      </c>
      <c r="G11" s="10" t="n">
        <f aca="false">COUNTIF(MonitoraIF!G2:G20,"Em Review")</f>
        <v>0</v>
      </c>
      <c r="H11" s="10" t="n">
        <f aca="false">COUNTIF(MonitoraIF!G2:G20,"A Fazer")+COUNTIF(MonitoraIF!G2:G20,"Backlog")</f>
        <v>19</v>
      </c>
      <c r="I11" s="11" t="n">
        <f aca="false">IF(D11=0,0,E11/D11)</f>
        <v>0</v>
      </c>
      <c r="J11" s="10" t="n">
        <f aca="false">SUM(MonitoraIF!F2:F20)</f>
        <v>20</v>
      </c>
      <c r="K11" s="10" t="n">
        <f aca="false">SUMIF(MonitoraIF!G2:G20,"Feito",MonitoraIF!F2:F20)</f>
        <v>0</v>
      </c>
    </row>
    <row r="12" customFormat="false" ht="15" hidden="false" customHeight="false" outlineLevel="0" collapsed="false">
      <c r="B12" s="16" t="s">
        <v>24</v>
      </c>
      <c r="C12" s="17"/>
      <c r="D12" s="3" t="n">
        <f aca="false">SUM(D6:D11)</f>
        <v>135</v>
      </c>
      <c r="E12" s="3" t="n">
        <f aca="false">SUM(E6:E11)</f>
        <v>0</v>
      </c>
      <c r="F12" s="3" t="n">
        <f aca="false">SUM(F6:F11)</f>
        <v>0</v>
      </c>
      <c r="G12" s="3" t="n">
        <f aca="false">SUM(G6:G11)</f>
        <v>0</v>
      </c>
      <c r="H12" s="3" t="n">
        <f aca="false">SUM(H6:H11)</f>
        <v>135</v>
      </c>
      <c r="I12" s="18" t="n">
        <f aca="false">IF(D12=0,0,E12/D12)</f>
        <v>0</v>
      </c>
      <c r="J12" s="3" t="n">
        <f aca="false">SUM(J6:J11)</f>
        <v>142.5</v>
      </c>
      <c r="K12" s="3" t="n">
        <f aca="false">SUM(K6:K11)</f>
        <v>0</v>
      </c>
    </row>
    <row r="14" customFormat="false" ht="15" hidden="false" customHeight="false" outlineLevel="0" collapsed="false">
      <c r="B14" s="19" t="s">
        <v>25</v>
      </c>
    </row>
    <row r="15" customFormat="false" ht="15" hidden="false" customHeight="false" outlineLevel="0" collapsed="false">
      <c r="B15" s="20" t="s">
        <v>26</v>
      </c>
    </row>
    <row r="16" customFormat="false" ht="15" hidden="false" customHeight="false" outlineLevel="0" collapsed="false">
      <c r="B16" s="20" t="s">
        <v>27</v>
      </c>
    </row>
    <row r="17" customFormat="false" ht="15" hidden="false" customHeight="false" outlineLevel="0" collapsed="false">
      <c r="B17" s="20" t="s">
        <v>28</v>
      </c>
    </row>
    <row r="18" customFormat="false" ht="15" hidden="false" customHeight="false" outlineLevel="0" collapsed="false">
      <c r="B18" s="20" t="s">
        <v>29</v>
      </c>
    </row>
    <row r="19" customFormat="false" ht="15" hidden="false" customHeight="false" outlineLevel="0" collapsed="false">
      <c r="B19" s="20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48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28"/>
  </cols>
  <sheetData>
    <row r="1" customFormat="false" ht="23.85" hidden="false" customHeight="false" outlineLevel="0" collapsed="false">
      <c r="A1" s="21" t="s">
        <v>31</v>
      </c>
      <c r="B1" s="21" t="s">
        <v>32</v>
      </c>
      <c r="C1" s="21" t="s">
        <v>33</v>
      </c>
      <c r="D1" s="21" t="s">
        <v>34</v>
      </c>
      <c r="E1" s="21" t="s">
        <v>35</v>
      </c>
      <c r="F1" s="21" t="s">
        <v>36</v>
      </c>
      <c r="G1" s="21" t="s">
        <v>37</v>
      </c>
      <c r="H1" s="21" t="s">
        <v>38</v>
      </c>
      <c r="I1" s="21" t="s">
        <v>39</v>
      </c>
    </row>
    <row r="2" customFormat="false" ht="15" hidden="false" customHeight="false" outlineLevel="0" collapsed="false">
      <c r="A2" s="22" t="s">
        <v>40</v>
      </c>
      <c r="B2" s="23" t="s">
        <v>41</v>
      </c>
      <c r="C2" s="5" t="s">
        <v>42</v>
      </c>
      <c r="D2" s="24" t="s">
        <v>43</v>
      </c>
      <c r="E2" s="6" t="n">
        <v>1</v>
      </c>
      <c r="F2" s="6" t="n">
        <v>0.5</v>
      </c>
      <c r="G2" s="25" t="s">
        <v>44</v>
      </c>
      <c r="H2" s="5"/>
      <c r="I2" s="5"/>
    </row>
    <row r="3" customFormat="false" ht="15" hidden="false" customHeight="false" outlineLevel="0" collapsed="false">
      <c r="A3" s="15" t="s">
        <v>45</v>
      </c>
      <c r="B3" s="26" t="s">
        <v>41</v>
      </c>
      <c r="C3" s="9" t="s">
        <v>46</v>
      </c>
      <c r="D3" s="24" t="s">
        <v>43</v>
      </c>
      <c r="E3" s="10" t="n">
        <v>1</v>
      </c>
      <c r="F3" s="10" t="n">
        <v>1.5</v>
      </c>
      <c r="G3" s="27" t="s">
        <v>44</v>
      </c>
      <c r="H3" s="9"/>
      <c r="I3" s="9"/>
    </row>
    <row r="4" customFormat="false" ht="15" hidden="false" customHeight="false" outlineLevel="0" collapsed="false">
      <c r="A4" s="22" t="s">
        <v>47</v>
      </c>
      <c r="B4" s="23" t="s">
        <v>41</v>
      </c>
      <c r="C4" s="5" t="s">
        <v>48</v>
      </c>
      <c r="D4" s="24" t="s">
        <v>43</v>
      </c>
      <c r="E4" s="6" t="n">
        <v>1</v>
      </c>
      <c r="F4" s="6" t="n">
        <v>1</v>
      </c>
      <c r="G4" s="25" t="s">
        <v>44</v>
      </c>
      <c r="H4" s="5"/>
      <c r="I4" s="5"/>
    </row>
    <row r="5" customFormat="false" ht="15" hidden="false" customHeight="false" outlineLevel="0" collapsed="false">
      <c r="A5" s="15" t="s">
        <v>49</v>
      </c>
      <c r="B5" s="26" t="s">
        <v>41</v>
      </c>
      <c r="C5" s="9" t="s">
        <v>50</v>
      </c>
      <c r="D5" s="24" t="s">
        <v>43</v>
      </c>
      <c r="E5" s="10" t="n">
        <v>1</v>
      </c>
      <c r="F5" s="10" t="n">
        <v>1.5</v>
      </c>
      <c r="G5" s="27" t="s">
        <v>44</v>
      </c>
      <c r="H5" s="9"/>
      <c r="I5" s="9"/>
    </row>
    <row r="6" customFormat="false" ht="15" hidden="false" customHeight="false" outlineLevel="0" collapsed="false">
      <c r="A6" s="22" t="s">
        <v>51</v>
      </c>
      <c r="B6" s="23" t="s">
        <v>52</v>
      </c>
      <c r="C6" s="5" t="s">
        <v>53</v>
      </c>
      <c r="D6" s="24" t="s">
        <v>43</v>
      </c>
      <c r="E6" s="6" t="n">
        <v>1</v>
      </c>
      <c r="F6" s="6" t="n">
        <v>0.5</v>
      </c>
      <c r="G6" s="25" t="s">
        <v>44</v>
      </c>
      <c r="H6" s="5"/>
      <c r="I6" s="5"/>
    </row>
    <row r="7" customFormat="false" ht="15" hidden="false" customHeight="false" outlineLevel="0" collapsed="false">
      <c r="A7" s="15" t="s">
        <v>54</v>
      </c>
      <c r="B7" s="26" t="s">
        <v>52</v>
      </c>
      <c r="C7" s="9" t="s">
        <v>55</v>
      </c>
      <c r="D7" s="24" t="s">
        <v>43</v>
      </c>
      <c r="E7" s="10" t="n">
        <v>1</v>
      </c>
      <c r="F7" s="10" t="n">
        <v>0.5</v>
      </c>
      <c r="G7" s="27" t="s">
        <v>44</v>
      </c>
      <c r="H7" s="9"/>
      <c r="I7" s="9"/>
    </row>
    <row r="8" customFormat="false" ht="15" hidden="false" customHeight="false" outlineLevel="0" collapsed="false">
      <c r="A8" s="22" t="s">
        <v>56</v>
      </c>
      <c r="B8" s="23" t="s">
        <v>52</v>
      </c>
      <c r="C8" s="5" t="s">
        <v>57</v>
      </c>
      <c r="D8" s="24" t="s">
        <v>43</v>
      </c>
      <c r="E8" s="6" t="n">
        <v>1</v>
      </c>
      <c r="F8" s="6" t="n">
        <v>1</v>
      </c>
      <c r="G8" s="25" t="s">
        <v>44</v>
      </c>
      <c r="H8" s="5"/>
      <c r="I8" s="5"/>
    </row>
    <row r="9" customFormat="false" ht="15" hidden="false" customHeight="false" outlineLevel="0" collapsed="false">
      <c r="A9" s="15" t="s">
        <v>58</v>
      </c>
      <c r="B9" s="26" t="s">
        <v>59</v>
      </c>
      <c r="C9" s="9" t="s">
        <v>60</v>
      </c>
      <c r="D9" s="24" t="s">
        <v>43</v>
      </c>
      <c r="E9" s="10" t="n">
        <v>2</v>
      </c>
      <c r="F9" s="10" t="n">
        <v>0.5</v>
      </c>
      <c r="G9" s="27" t="s">
        <v>61</v>
      </c>
      <c r="H9" s="9"/>
      <c r="I9" s="9"/>
    </row>
    <row r="10" customFormat="false" ht="15" hidden="false" customHeight="false" outlineLevel="0" collapsed="false">
      <c r="A10" s="22" t="s">
        <v>62</v>
      </c>
      <c r="B10" s="23" t="s">
        <v>59</v>
      </c>
      <c r="C10" s="5" t="s">
        <v>63</v>
      </c>
      <c r="D10" s="24" t="s">
        <v>43</v>
      </c>
      <c r="E10" s="6" t="n">
        <v>2</v>
      </c>
      <c r="F10" s="6" t="n">
        <v>1.5</v>
      </c>
      <c r="G10" s="25" t="s">
        <v>61</v>
      </c>
      <c r="H10" s="5"/>
      <c r="I10" s="5"/>
    </row>
    <row r="11" customFormat="false" ht="15" hidden="false" customHeight="false" outlineLevel="0" collapsed="false">
      <c r="A11" s="15" t="s">
        <v>64</v>
      </c>
      <c r="B11" s="26" t="s">
        <v>59</v>
      </c>
      <c r="C11" s="9" t="s">
        <v>65</v>
      </c>
      <c r="D11" s="24" t="s">
        <v>43</v>
      </c>
      <c r="E11" s="10" t="n">
        <v>2</v>
      </c>
      <c r="F11" s="10" t="n">
        <v>1</v>
      </c>
      <c r="G11" s="27" t="s">
        <v>61</v>
      </c>
      <c r="H11" s="9"/>
      <c r="I11" s="9"/>
    </row>
    <row r="12" customFormat="false" ht="15" hidden="false" customHeight="false" outlineLevel="0" collapsed="false">
      <c r="A12" s="22" t="s">
        <v>66</v>
      </c>
      <c r="B12" s="23" t="s">
        <v>59</v>
      </c>
      <c r="C12" s="5" t="s">
        <v>67</v>
      </c>
      <c r="D12" s="24" t="s">
        <v>43</v>
      </c>
      <c r="E12" s="6" t="n">
        <v>2</v>
      </c>
      <c r="F12" s="6" t="n">
        <v>1</v>
      </c>
      <c r="G12" s="25" t="s">
        <v>61</v>
      </c>
      <c r="H12" s="5"/>
      <c r="I12" s="5"/>
    </row>
    <row r="13" customFormat="false" ht="15" hidden="false" customHeight="false" outlineLevel="0" collapsed="false">
      <c r="A13" s="15" t="s">
        <v>68</v>
      </c>
      <c r="B13" s="26" t="s">
        <v>69</v>
      </c>
      <c r="C13" s="9" t="s">
        <v>70</v>
      </c>
      <c r="D13" s="24" t="s">
        <v>43</v>
      </c>
      <c r="E13" s="10" t="n">
        <v>2</v>
      </c>
      <c r="F13" s="10" t="n">
        <v>1</v>
      </c>
      <c r="G13" s="27" t="s">
        <v>61</v>
      </c>
      <c r="H13" s="9"/>
      <c r="I13" s="9"/>
    </row>
    <row r="14" customFormat="false" ht="15" hidden="false" customHeight="false" outlineLevel="0" collapsed="false">
      <c r="A14" s="22" t="s">
        <v>71</v>
      </c>
      <c r="B14" s="23" t="s">
        <v>69</v>
      </c>
      <c r="C14" s="5" t="s">
        <v>72</v>
      </c>
      <c r="D14" s="24" t="s">
        <v>43</v>
      </c>
      <c r="E14" s="6" t="n">
        <v>2</v>
      </c>
      <c r="F14" s="6" t="n">
        <v>0.5</v>
      </c>
      <c r="G14" s="25" t="s">
        <v>61</v>
      </c>
      <c r="H14" s="5"/>
      <c r="I14" s="5"/>
    </row>
    <row r="15" customFormat="false" ht="15" hidden="false" customHeight="false" outlineLevel="0" collapsed="false">
      <c r="A15" s="15" t="s">
        <v>73</v>
      </c>
      <c r="B15" s="26" t="s">
        <v>74</v>
      </c>
      <c r="C15" s="9" t="s">
        <v>75</v>
      </c>
      <c r="D15" s="24" t="s">
        <v>43</v>
      </c>
      <c r="E15" s="10" t="n">
        <v>2</v>
      </c>
      <c r="F15" s="10" t="n">
        <v>1</v>
      </c>
      <c r="G15" s="27" t="s">
        <v>61</v>
      </c>
      <c r="H15" s="9"/>
      <c r="I15" s="9"/>
    </row>
    <row r="16" customFormat="false" ht="15" hidden="false" customHeight="false" outlineLevel="0" collapsed="false">
      <c r="A16" s="22" t="s">
        <v>76</v>
      </c>
      <c r="B16" s="23" t="s">
        <v>74</v>
      </c>
      <c r="C16" s="5" t="s">
        <v>77</v>
      </c>
      <c r="D16" s="24" t="s">
        <v>43</v>
      </c>
      <c r="E16" s="6" t="n">
        <v>2</v>
      </c>
      <c r="F16" s="6" t="n">
        <v>1</v>
      </c>
      <c r="G16" s="25" t="s">
        <v>61</v>
      </c>
      <c r="H16" s="5"/>
      <c r="I16" s="5"/>
    </row>
    <row r="17" customFormat="false" ht="15" hidden="false" customHeight="false" outlineLevel="0" collapsed="false">
      <c r="A17" s="15" t="s">
        <v>78</v>
      </c>
      <c r="B17" s="26" t="s">
        <v>79</v>
      </c>
      <c r="C17" s="9" t="s">
        <v>80</v>
      </c>
      <c r="D17" s="24" t="s">
        <v>43</v>
      </c>
      <c r="E17" s="10" t="n">
        <v>2</v>
      </c>
      <c r="F17" s="10" t="n">
        <v>1</v>
      </c>
      <c r="G17" s="27" t="s">
        <v>61</v>
      </c>
      <c r="H17" s="9"/>
      <c r="I17" s="9"/>
    </row>
    <row r="18" customFormat="false" ht="15" hidden="false" customHeight="false" outlineLevel="0" collapsed="false">
      <c r="A18" s="22" t="s">
        <v>81</v>
      </c>
      <c r="B18" s="23" t="s">
        <v>79</v>
      </c>
      <c r="C18" s="5" t="s">
        <v>82</v>
      </c>
      <c r="D18" s="24" t="s">
        <v>43</v>
      </c>
      <c r="E18" s="6" t="n">
        <v>2</v>
      </c>
      <c r="F18" s="6" t="n">
        <v>1.5</v>
      </c>
      <c r="G18" s="25" t="s">
        <v>61</v>
      </c>
      <c r="H18" s="5"/>
      <c r="I18" s="5"/>
    </row>
    <row r="19" customFormat="false" ht="15" hidden="false" customHeight="false" outlineLevel="0" collapsed="false">
      <c r="A19" s="15" t="s">
        <v>83</v>
      </c>
      <c r="B19" s="26" t="s">
        <v>79</v>
      </c>
      <c r="C19" s="9" t="s">
        <v>84</v>
      </c>
      <c r="D19" s="24" t="s">
        <v>43</v>
      </c>
      <c r="E19" s="10" t="n">
        <v>2</v>
      </c>
      <c r="F19" s="10" t="n">
        <v>0.5</v>
      </c>
      <c r="G19" s="27" t="s">
        <v>61</v>
      </c>
      <c r="H19" s="9"/>
      <c r="I19" s="9"/>
    </row>
    <row r="20" customFormat="false" ht="15" hidden="false" customHeight="false" outlineLevel="0" collapsed="false">
      <c r="A20" s="22" t="s">
        <v>85</v>
      </c>
      <c r="B20" s="23" t="s">
        <v>86</v>
      </c>
      <c r="C20" s="5" t="s">
        <v>87</v>
      </c>
      <c r="D20" s="24" t="s">
        <v>43</v>
      </c>
      <c r="E20" s="6" t="n">
        <v>2</v>
      </c>
      <c r="F20" s="6" t="n">
        <v>1</v>
      </c>
      <c r="G20" s="25" t="s">
        <v>61</v>
      </c>
      <c r="H20" s="5"/>
      <c r="I20" s="5"/>
    </row>
    <row r="21" customFormat="false" ht="15" hidden="false" customHeight="false" outlineLevel="0" collapsed="false">
      <c r="A21" s="15" t="s">
        <v>88</v>
      </c>
      <c r="B21" s="26" t="s">
        <v>86</v>
      </c>
      <c r="C21" s="9" t="s">
        <v>89</v>
      </c>
      <c r="D21" s="24" t="s">
        <v>43</v>
      </c>
      <c r="E21" s="10" t="n">
        <v>2</v>
      </c>
      <c r="F21" s="10" t="n">
        <v>0.5</v>
      </c>
      <c r="G21" s="27" t="s">
        <v>61</v>
      </c>
      <c r="H21" s="9"/>
      <c r="I21" s="9"/>
    </row>
    <row r="22" customFormat="false" ht="15" hidden="false" customHeight="false" outlineLevel="0" collapsed="false">
      <c r="A22" s="22" t="s">
        <v>90</v>
      </c>
      <c r="B22" s="23" t="s">
        <v>91</v>
      </c>
      <c r="C22" s="5" t="s">
        <v>92</v>
      </c>
      <c r="D22" s="28" t="s">
        <v>93</v>
      </c>
      <c r="E22" s="6" t="n">
        <v>3</v>
      </c>
      <c r="F22" s="6" t="n">
        <v>1</v>
      </c>
      <c r="G22" s="25" t="s">
        <v>61</v>
      </c>
      <c r="H22" s="5"/>
      <c r="I22" s="5"/>
    </row>
    <row r="23" customFormat="false" ht="15" hidden="false" customHeight="false" outlineLevel="0" collapsed="false">
      <c r="A23" s="15" t="s">
        <v>94</v>
      </c>
      <c r="B23" s="26" t="s">
        <v>95</v>
      </c>
      <c r="C23" s="9" t="s">
        <v>96</v>
      </c>
      <c r="D23" s="28" t="s">
        <v>93</v>
      </c>
      <c r="E23" s="10" t="n">
        <v>3</v>
      </c>
      <c r="F23" s="10" t="n">
        <v>0.5</v>
      </c>
      <c r="G23" s="27" t="s">
        <v>61</v>
      </c>
      <c r="H23" s="9"/>
      <c r="I23" s="9"/>
    </row>
    <row r="24" customFormat="false" ht="15" hidden="false" customHeight="false" outlineLevel="0" collapsed="false">
      <c r="A24" s="22" t="s">
        <v>97</v>
      </c>
      <c r="B24" s="23" t="s">
        <v>95</v>
      </c>
      <c r="C24" s="5" t="s">
        <v>98</v>
      </c>
      <c r="D24" s="28" t="s">
        <v>93</v>
      </c>
      <c r="E24" s="6" t="n">
        <v>3</v>
      </c>
      <c r="F24" s="6" t="n">
        <v>1.5</v>
      </c>
      <c r="G24" s="25" t="s">
        <v>61</v>
      </c>
      <c r="H24" s="5"/>
      <c r="I24" s="5"/>
    </row>
    <row r="25" customFormat="false" ht="15" hidden="false" customHeight="false" outlineLevel="0" collapsed="false">
      <c r="A25" s="15" t="s">
        <v>99</v>
      </c>
      <c r="B25" s="26" t="s">
        <v>100</v>
      </c>
      <c r="C25" s="9" t="s">
        <v>101</v>
      </c>
      <c r="D25" s="29" t="s">
        <v>102</v>
      </c>
      <c r="E25" s="10" t="n">
        <v>3</v>
      </c>
      <c r="F25" s="10" t="n">
        <v>1</v>
      </c>
      <c r="G25" s="27" t="s">
        <v>61</v>
      </c>
      <c r="H25" s="9"/>
      <c r="I25" s="9"/>
    </row>
    <row r="26" customFormat="false" ht="15" hidden="false" customHeight="false" outlineLevel="0" collapsed="false">
      <c r="A26" s="22" t="s">
        <v>103</v>
      </c>
      <c r="B26" s="23" t="s">
        <v>104</v>
      </c>
      <c r="C26" s="5" t="s">
        <v>105</v>
      </c>
      <c r="D26" s="24" t="s">
        <v>43</v>
      </c>
      <c r="E26" s="6" t="n">
        <v>3</v>
      </c>
      <c r="F26" s="6" t="n">
        <v>1</v>
      </c>
      <c r="G26" s="25" t="s">
        <v>61</v>
      </c>
      <c r="H26" s="5"/>
      <c r="I26" s="5"/>
    </row>
    <row r="27" customFormat="false" ht="15" hidden="false" customHeight="false" outlineLevel="0" collapsed="false">
      <c r="A27" s="15" t="s">
        <v>106</v>
      </c>
      <c r="B27" s="26" t="s">
        <v>104</v>
      </c>
      <c r="C27" s="9" t="s">
        <v>107</v>
      </c>
      <c r="D27" s="24" t="s">
        <v>43</v>
      </c>
      <c r="E27" s="10" t="n">
        <v>3</v>
      </c>
      <c r="F27" s="10" t="n">
        <v>2</v>
      </c>
      <c r="G27" s="27" t="s">
        <v>61</v>
      </c>
      <c r="H27" s="9"/>
      <c r="I27" s="9"/>
    </row>
    <row r="29" customFormat="false" ht="15" hidden="false" customHeight="false" outlineLevel="0" collapsed="false">
      <c r="C29" s="30" t="s">
        <v>108</v>
      </c>
      <c r="F29" s="31" t="n">
        <f aca="false">SUM(F2:F27)</f>
        <v>25.5</v>
      </c>
    </row>
    <row r="30" customFormat="false" ht="15" hidden="false" customHeight="false" outlineLevel="0" collapsed="false">
      <c r="C30" s="30" t="s">
        <v>109</v>
      </c>
      <c r="F30" s="31" t="n">
        <f aca="false">SUMIF(G2:G27,"Feito",F2:F27)</f>
        <v>0</v>
      </c>
    </row>
  </sheetData>
  <autoFilter ref="A1:I27"/>
  <dataValidations count="1">
    <dataValidation allowBlank="true" errorStyle="stop" operator="between" showDropDown="false" showErrorMessage="false" showInputMessage="false" sqref="G2:G27" type="list">
      <formula1>"Backlog,A Fazer,Fazendo,Em Review,Feito"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48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28"/>
  </cols>
  <sheetData>
    <row r="1" customFormat="false" ht="23.85" hidden="false" customHeight="false" outlineLevel="0" collapsed="false">
      <c r="A1" s="32" t="s">
        <v>31</v>
      </c>
      <c r="B1" s="32" t="s">
        <v>32</v>
      </c>
      <c r="C1" s="32" t="s">
        <v>33</v>
      </c>
      <c r="D1" s="32" t="s">
        <v>34</v>
      </c>
      <c r="E1" s="32" t="s">
        <v>35</v>
      </c>
      <c r="F1" s="32" t="s">
        <v>36</v>
      </c>
      <c r="G1" s="32" t="s">
        <v>37</v>
      </c>
      <c r="H1" s="32" t="s">
        <v>38</v>
      </c>
      <c r="I1" s="32" t="s">
        <v>39</v>
      </c>
    </row>
    <row r="2" customFormat="false" ht="15" hidden="false" customHeight="false" outlineLevel="0" collapsed="false">
      <c r="A2" s="22" t="s">
        <v>110</v>
      </c>
      <c r="B2" s="23" t="s">
        <v>111</v>
      </c>
      <c r="C2" s="5" t="s">
        <v>42</v>
      </c>
      <c r="D2" s="24" t="s">
        <v>43</v>
      </c>
      <c r="E2" s="6" t="n">
        <v>1</v>
      </c>
      <c r="F2" s="6" t="n">
        <v>0.5</v>
      </c>
      <c r="G2" s="25" t="s">
        <v>44</v>
      </c>
      <c r="H2" s="5"/>
      <c r="I2" s="5"/>
    </row>
    <row r="3" customFormat="false" ht="15" hidden="false" customHeight="false" outlineLevel="0" collapsed="false">
      <c r="A3" s="15" t="s">
        <v>112</v>
      </c>
      <c r="B3" s="26" t="s">
        <v>111</v>
      </c>
      <c r="C3" s="9" t="s">
        <v>46</v>
      </c>
      <c r="D3" s="24" t="s">
        <v>43</v>
      </c>
      <c r="E3" s="10" t="n">
        <v>1</v>
      </c>
      <c r="F3" s="10" t="n">
        <v>1.5</v>
      </c>
      <c r="G3" s="27" t="s">
        <v>44</v>
      </c>
      <c r="H3" s="9"/>
      <c r="I3" s="9"/>
    </row>
    <row r="4" customFormat="false" ht="15" hidden="false" customHeight="false" outlineLevel="0" collapsed="false">
      <c r="A4" s="22" t="s">
        <v>113</v>
      </c>
      <c r="B4" s="23" t="s">
        <v>111</v>
      </c>
      <c r="C4" s="5" t="s">
        <v>48</v>
      </c>
      <c r="D4" s="24" t="s">
        <v>43</v>
      </c>
      <c r="E4" s="6" t="n">
        <v>1</v>
      </c>
      <c r="F4" s="6" t="n">
        <v>1</v>
      </c>
      <c r="G4" s="25" t="s">
        <v>44</v>
      </c>
      <c r="H4" s="5"/>
      <c r="I4" s="5"/>
    </row>
    <row r="5" customFormat="false" ht="15" hidden="false" customHeight="false" outlineLevel="0" collapsed="false">
      <c r="A5" s="15" t="s">
        <v>114</v>
      </c>
      <c r="B5" s="26" t="s">
        <v>111</v>
      </c>
      <c r="C5" s="9" t="s">
        <v>115</v>
      </c>
      <c r="D5" s="24" t="s">
        <v>43</v>
      </c>
      <c r="E5" s="10" t="n">
        <v>1</v>
      </c>
      <c r="F5" s="10" t="n">
        <v>1.5</v>
      </c>
      <c r="G5" s="27" t="s">
        <v>44</v>
      </c>
      <c r="H5" s="9"/>
      <c r="I5" s="9"/>
    </row>
    <row r="6" customFormat="false" ht="15" hidden="false" customHeight="false" outlineLevel="0" collapsed="false">
      <c r="A6" s="22" t="s">
        <v>116</v>
      </c>
      <c r="B6" s="23" t="s">
        <v>117</v>
      </c>
      <c r="C6" s="5" t="s">
        <v>118</v>
      </c>
      <c r="D6" s="24" t="s">
        <v>43</v>
      </c>
      <c r="E6" s="6" t="n">
        <v>2</v>
      </c>
      <c r="F6" s="6" t="n">
        <v>0.5</v>
      </c>
      <c r="G6" s="25" t="s">
        <v>61</v>
      </c>
      <c r="H6" s="5"/>
      <c r="I6" s="5"/>
    </row>
    <row r="7" customFormat="false" ht="15" hidden="false" customHeight="false" outlineLevel="0" collapsed="false">
      <c r="A7" s="15" t="s">
        <v>119</v>
      </c>
      <c r="B7" s="26" t="s">
        <v>117</v>
      </c>
      <c r="C7" s="9" t="s">
        <v>120</v>
      </c>
      <c r="D7" s="24" t="s">
        <v>43</v>
      </c>
      <c r="E7" s="10" t="n">
        <v>2</v>
      </c>
      <c r="F7" s="10" t="n">
        <v>1.5</v>
      </c>
      <c r="G7" s="27" t="s">
        <v>61</v>
      </c>
      <c r="H7" s="9"/>
      <c r="I7" s="9"/>
    </row>
    <row r="8" customFormat="false" ht="15" hidden="false" customHeight="false" outlineLevel="0" collapsed="false">
      <c r="A8" s="22" t="s">
        <v>121</v>
      </c>
      <c r="B8" s="23" t="s">
        <v>117</v>
      </c>
      <c r="C8" s="5" t="s">
        <v>122</v>
      </c>
      <c r="D8" s="24" t="s">
        <v>43</v>
      </c>
      <c r="E8" s="6" t="n">
        <v>2</v>
      </c>
      <c r="F8" s="6" t="n">
        <v>1</v>
      </c>
      <c r="G8" s="25" t="s">
        <v>61</v>
      </c>
      <c r="H8" s="5"/>
      <c r="I8" s="5"/>
    </row>
    <row r="9" customFormat="false" ht="15" hidden="false" customHeight="false" outlineLevel="0" collapsed="false">
      <c r="A9" s="15" t="s">
        <v>123</v>
      </c>
      <c r="B9" s="26" t="s">
        <v>124</v>
      </c>
      <c r="C9" s="9" t="s">
        <v>125</v>
      </c>
      <c r="D9" s="24" t="s">
        <v>43</v>
      </c>
      <c r="E9" s="10" t="n">
        <v>2</v>
      </c>
      <c r="F9" s="10" t="n">
        <v>1</v>
      </c>
      <c r="G9" s="27" t="s">
        <v>61</v>
      </c>
      <c r="H9" s="9"/>
      <c r="I9" s="9"/>
    </row>
    <row r="10" customFormat="false" ht="15" hidden="false" customHeight="false" outlineLevel="0" collapsed="false">
      <c r="A10" s="22" t="s">
        <v>126</v>
      </c>
      <c r="B10" s="23" t="s">
        <v>124</v>
      </c>
      <c r="C10" s="5" t="s">
        <v>127</v>
      </c>
      <c r="D10" s="24" t="s">
        <v>43</v>
      </c>
      <c r="E10" s="6" t="n">
        <v>2</v>
      </c>
      <c r="F10" s="6" t="n">
        <v>1</v>
      </c>
      <c r="G10" s="25" t="s">
        <v>61</v>
      </c>
      <c r="H10" s="5"/>
      <c r="I10" s="5"/>
    </row>
    <row r="11" customFormat="false" ht="15" hidden="false" customHeight="false" outlineLevel="0" collapsed="false">
      <c r="A11" s="15" t="s">
        <v>128</v>
      </c>
      <c r="B11" s="26" t="s">
        <v>129</v>
      </c>
      <c r="C11" s="9" t="s">
        <v>130</v>
      </c>
      <c r="D11" s="24" t="s">
        <v>43</v>
      </c>
      <c r="E11" s="10" t="n">
        <v>2</v>
      </c>
      <c r="F11" s="10" t="n">
        <v>1</v>
      </c>
      <c r="G11" s="27" t="s">
        <v>61</v>
      </c>
      <c r="H11" s="9"/>
      <c r="I11" s="9"/>
    </row>
    <row r="12" customFormat="false" ht="15" hidden="false" customHeight="false" outlineLevel="0" collapsed="false">
      <c r="A12" s="22" t="s">
        <v>131</v>
      </c>
      <c r="B12" s="23" t="s">
        <v>129</v>
      </c>
      <c r="C12" s="5" t="s">
        <v>132</v>
      </c>
      <c r="D12" s="24" t="s">
        <v>43</v>
      </c>
      <c r="E12" s="6" t="n">
        <v>2</v>
      </c>
      <c r="F12" s="6" t="n">
        <v>1</v>
      </c>
      <c r="G12" s="25" t="s">
        <v>61</v>
      </c>
      <c r="H12" s="5"/>
      <c r="I12" s="5"/>
    </row>
    <row r="13" customFormat="false" ht="15" hidden="false" customHeight="false" outlineLevel="0" collapsed="false">
      <c r="A13" s="15" t="s">
        <v>133</v>
      </c>
      <c r="B13" s="26" t="s">
        <v>134</v>
      </c>
      <c r="C13" s="9" t="s">
        <v>135</v>
      </c>
      <c r="D13" s="24" t="s">
        <v>43</v>
      </c>
      <c r="E13" s="10" t="n">
        <v>2</v>
      </c>
      <c r="F13" s="10" t="n">
        <v>1</v>
      </c>
      <c r="G13" s="27" t="s">
        <v>61</v>
      </c>
      <c r="H13" s="9"/>
      <c r="I13" s="9"/>
    </row>
    <row r="14" customFormat="false" ht="15" hidden="false" customHeight="false" outlineLevel="0" collapsed="false">
      <c r="A14" s="22" t="s">
        <v>136</v>
      </c>
      <c r="B14" s="23" t="s">
        <v>134</v>
      </c>
      <c r="C14" s="5" t="s">
        <v>137</v>
      </c>
      <c r="D14" s="24" t="s">
        <v>43</v>
      </c>
      <c r="E14" s="6" t="n">
        <v>2</v>
      </c>
      <c r="F14" s="6" t="n">
        <v>1</v>
      </c>
      <c r="G14" s="25" t="s">
        <v>61</v>
      </c>
      <c r="H14" s="5"/>
      <c r="I14" s="5"/>
    </row>
    <row r="15" customFormat="false" ht="15" hidden="false" customHeight="false" outlineLevel="0" collapsed="false">
      <c r="A15" s="15" t="s">
        <v>138</v>
      </c>
      <c r="B15" s="26" t="s">
        <v>134</v>
      </c>
      <c r="C15" s="9" t="s">
        <v>139</v>
      </c>
      <c r="D15" s="24" t="s">
        <v>43</v>
      </c>
      <c r="E15" s="10" t="n">
        <v>2</v>
      </c>
      <c r="F15" s="10" t="n">
        <v>0.5</v>
      </c>
      <c r="G15" s="27" t="s">
        <v>61</v>
      </c>
      <c r="H15" s="9"/>
      <c r="I15" s="9"/>
    </row>
    <row r="16" customFormat="false" ht="15" hidden="false" customHeight="false" outlineLevel="0" collapsed="false">
      <c r="A16" s="22" t="s">
        <v>140</v>
      </c>
      <c r="B16" s="23" t="s">
        <v>141</v>
      </c>
      <c r="C16" s="5" t="s">
        <v>142</v>
      </c>
      <c r="D16" s="24" t="s">
        <v>43</v>
      </c>
      <c r="E16" s="6" t="n">
        <v>2</v>
      </c>
      <c r="F16" s="6" t="n">
        <v>1</v>
      </c>
      <c r="G16" s="25" t="s">
        <v>61</v>
      </c>
      <c r="H16" s="5"/>
      <c r="I16" s="5"/>
    </row>
    <row r="17" customFormat="false" ht="15" hidden="false" customHeight="false" outlineLevel="0" collapsed="false">
      <c r="A17" s="15" t="s">
        <v>143</v>
      </c>
      <c r="B17" s="26" t="s">
        <v>141</v>
      </c>
      <c r="C17" s="9" t="s">
        <v>144</v>
      </c>
      <c r="D17" s="24" t="s">
        <v>43</v>
      </c>
      <c r="E17" s="10" t="n">
        <v>2</v>
      </c>
      <c r="F17" s="10" t="n">
        <v>1.5</v>
      </c>
      <c r="G17" s="27" t="s">
        <v>61</v>
      </c>
      <c r="H17" s="9"/>
      <c r="I17" s="9"/>
    </row>
    <row r="18" customFormat="false" ht="15" hidden="false" customHeight="false" outlineLevel="0" collapsed="false">
      <c r="A18" s="22" t="s">
        <v>145</v>
      </c>
      <c r="B18" s="23" t="s">
        <v>146</v>
      </c>
      <c r="C18" s="5" t="s">
        <v>147</v>
      </c>
      <c r="D18" s="28" t="s">
        <v>93</v>
      </c>
      <c r="E18" s="6" t="n">
        <v>3</v>
      </c>
      <c r="F18" s="6" t="n">
        <v>1</v>
      </c>
      <c r="G18" s="25" t="s">
        <v>61</v>
      </c>
      <c r="H18" s="5"/>
      <c r="I18" s="5"/>
    </row>
    <row r="19" customFormat="false" ht="15" hidden="false" customHeight="false" outlineLevel="0" collapsed="false">
      <c r="A19" s="15" t="s">
        <v>148</v>
      </c>
      <c r="B19" s="26" t="s">
        <v>146</v>
      </c>
      <c r="C19" s="9" t="s">
        <v>149</v>
      </c>
      <c r="D19" s="28" t="s">
        <v>93</v>
      </c>
      <c r="E19" s="10" t="n">
        <v>3</v>
      </c>
      <c r="F19" s="10" t="n">
        <v>0.5</v>
      </c>
      <c r="G19" s="27" t="s">
        <v>61</v>
      </c>
      <c r="H19" s="9"/>
      <c r="I19" s="9"/>
    </row>
    <row r="20" customFormat="false" ht="15" hidden="false" customHeight="false" outlineLevel="0" collapsed="false">
      <c r="A20" s="22" t="s">
        <v>150</v>
      </c>
      <c r="B20" s="23" t="s">
        <v>151</v>
      </c>
      <c r="C20" s="5" t="s">
        <v>152</v>
      </c>
      <c r="D20" s="28" t="s">
        <v>93</v>
      </c>
      <c r="E20" s="6" t="n">
        <v>3</v>
      </c>
      <c r="F20" s="6" t="n">
        <v>1</v>
      </c>
      <c r="G20" s="25" t="s">
        <v>61</v>
      </c>
      <c r="H20" s="5"/>
      <c r="I20" s="5"/>
    </row>
    <row r="21" customFormat="false" ht="15" hidden="false" customHeight="false" outlineLevel="0" collapsed="false">
      <c r="A21" s="15" t="s">
        <v>153</v>
      </c>
      <c r="B21" s="26" t="s">
        <v>151</v>
      </c>
      <c r="C21" s="9" t="s">
        <v>154</v>
      </c>
      <c r="D21" s="28" t="s">
        <v>93</v>
      </c>
      <c r="E21" s="10" t="n">
        <v>3</v>
      </c>
      <c r="F21" s="10" t="n">
        <v>1</v>
      </c>
      <c r="G21" s="27" t="s">
        <v>61</v>
      </c>
      <c r="H21" s="9"/>
      <c r="I21" s="9"/>
    </row>
    <row r="22" customFormat="false" ht="15" hidden="false" customHeight="false" outlineLevel="0" collapsed="false">
      <c r="A22" s="22" t="s">
        <v>155</v>
      </c>
      <c r="B22" s="23" t="s">
        <v>156</v>
      </c>
      <c r="C22" s="5" t="s">
        <v>157</v>
      </c>
      <c r="D22" s="28" t="s">
        <v>93</v>
      </c>
      <c r="E22" s="6" t="n">
        <v>3</v>
      </c>
      <c r="F22" s="6" t="n">
        <v>1</v>
      </c>
      <c r="G22" s="25" t="s">
        <v>61</v>
      </c>
      <c r="H22" s="5"/>
      <c r="I22" s="5"/>
    </row>
    <row r="23" customFormat="false" ht="15" hidden="false" customHeight="false" outlineLevel="0" collapsed="false">
      <c r="A23" s="15" t="s">
        <v>158</v>
      </c>
      <c r="B23" s="26" t="s">
        <v>156</v>
      </c>
      <c r="C23" s="9" t="s">
        <v>159</v>
      </c>
      <c r="D23" s="28" t="s">
        <v>93</v>
      </c>
      <c r="E23" s="10" t="n">
        <v>3</v>
      </c>
      <c r="F23" s="10" t="n">
        <v>1</v>
      </c>
      <c r="G23" s="27" t="s">
        <v>61</v>
      </c>
      <c r="H23" s="9"/>
      <c r="I23" s="9"/>
    </row>
    <row r="24" customFormat="false" ht="15" hidden="false" customHeight="false" outlineLevel="0" collapsed="false">
      <c r="A24" s="22" t="s">
        <v>160</v>
      </c>
      <c r="B24" s="23" t="s">
        <v>104</v>
      </c>
      <c r="C24" s="5" t="s">
        <v>105</v>
      </c>
      <c r="D24" s="24" t="s">
        <v>43</v>
      </c>
      <c r="E24" s="6" t="n">
        <v>3</v>
      </c>
      <c r="F24" s="6" t="n">
        <v>1</v>
      </c>
      <c r="G24" s="25" t="s">
        <v>61</v>
      </c>
      <c r="H24" s="5"/>
      <c r="I24" s="5"/>
    </row>
    <row r="25" customFormat="false" ht="15" hidden="false" customHeight="false" outlineLevel="0" collapsed="false">
      <c r="A25" s="15" t="s">
        <v>161</v>
      </c>
      <c r="B25" s="26" t="s">
        <v>104</v>
      </c>
      <c r="C25" s="9" t="s">
        <v>107</v>
      </c>
      <c r="D25" s="24" t="s">
        <v>43</v>
      </c>
      <c r="E25" s="10" t="n">
        <v>3</v>
      </c>
      <c r="F25" s="10" t="n">
        <v>2</v>
      </c>
      <c r="G25" s="27" t="s">
        <v>61</v>
      </c>
      <c r="H25" s="9"/>
      <c r="I25" s="9"/>
    </row>
    <row r="27" customFormat="false" ht="15" hidden="false" customHeight="false" outlineLevel="0" collapsed="false">
      <c r="C27" s="30" t="s">
        <v>108</v>
      </c>
      <c r="F27" s="31" t="n">
        <f aca="false">SUM(F2:F25)</f>
        <v>25</v>
      </c>
    </row>
    <row r="28" customFormat="false" ht="15" hidden="false" customHeight="false" outlineLevel="0" collapsed="false">
      <c r="C28" s="30" t="s">
        <v>109</v>
      </c>
      <c r="F28" s="31" t="n">
        <f aca="false">SUMIF(G2:G25,"Feito",F2:F25)</f>
        <v>0</v>
      </c>
    </row>
  </sheetData>
  <autoFilter ref="A1:I25"/>
  <dataValidations count="1">
    <dataValidation allowBlank="true" errorStyle="stop" operator="between" showDropDown="false" showErrorMessage="false" showInputMessage="false" sqref="G2:G25" type="list">
      <formula1>"Backlog,A Fazer,Fazendo,Em Review,Feito"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48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28"/>
  </cols>
  <sheetData>
    <row r="1" customFormat="false" ht="23.85" hidden="false" customHeight="false" outlineLevel="0" collapsed="false">
      <c r="A1" s="33" t="s">
        <v>31</v>
      </c>
      <c r="B1" s="33" t="s">
        <v>32</v>
      </c>
      <c r="C1" s="33" t="s">
        <v>33</v>
      </c>
      <c r="D1" s="33" t="s">
        <v>34</v>
      </c>
      <c r="E1" s="33" t="s">
        <v>35</v>
      </c>
      <c r="F1" s="33" t="s">
        <v>36</v>
      </c>
      <c r="G1" s="33" t="s">
        <v>37</v>
      </c>
      <c r="H1" s="33" t="s">
        <v>38</v>
      </c>
      <c r="I1" s="33" t="s">
        <v>39</v>
      </c>
    </row>
    <row r="2" customFormat="false" ht="15" hidden="false" customHeight="false" outlineLevel="0" collapsed="false">
      <c r="A2" s="22" t="s">
        <v>162</v>
      </c>
      <c r="B2" s="23" t="s">
        <v>163</v>
      </c>
      <c r="C2" s="5" t="s">
        <v>42</v>
      </c>
      <c r="D2" s="24" t="s">
        <v>43</v>
      </c>
      <c r="E2" s="6" t="n">
        <v>1</v>
      </c>
      <c r="F2" s="6" t="n">
        <v>0.5</v>
      </c>
      <c r="G2" s="25" t="s">
        <v>44</v>
      </c>
      <c r="H2" s="5"/>
      <c r="I2" s="5"/>
    </row>
    <row r="3" customFormat="false" ht="15" hidden="false" customHeight="false" outlineLevel="0" collapsed="false">
      <c r="A3" s="15" t="s">
        <v>164</v>
      </c>
      <c r="B3" s="26" t="s">
        <v>163</v>
      </c>
      <c r="C3" s="9" t="s">
        <v>165</v>
      </c>
      <c r="D3" s="24" t="s">
        <v>43</v>
      </c>
      <c r="E3" s="10" t="n">
        <v>1</v>
      </c>
      <c r="F3" s="10" t="n">
        <v>1.5</v>
      </c>
      <c r="G3" s="27" t="s">
        <v>44</v>
      </c>
      <c r="H3" s="9"/>
      <c r="I3" s="9"/>
    </row>
    <row r="4" customFormat="false" ht="15" hidden="false" customHeight="false" outlineLevel="0" collapsed="false">
      <c r="A4" s="22" t="s">
        <v>166</v>
      </c>
      <c r="B4" s="23" t="s">
        <v>163</v>
      </c>
      <c r="C4" s="5" t="s">
        <v>167</v>
      </c>
      <c r="D4" s="24" t="s">
        <v>43</v>
      </c>
      <c r="E4" s="6" t="n">
        <v>1</v>
      </c>
      <c r="F4" s="6" t="n">
        <v>1</v>
      </c>
      <c r="G4" s="25" t="s">
        <v>44</v>
      </c>
      <c r="H4" s="5"/>
      <c r="I4" s="5"/>
    </row>
    <row r="5" customFormat="false" ht="15" hidden="false" customHeight="false" outlineLevel="0" collapsed="false">
      <c r="A5" s="15" t="s">
        <v>168</v>
      </c>
      <c r="B5" s="26" t="s">
        <v>163</v>
      </c>
      <c r="C5" s="9" t="s">
        <v>50</v>
      </c>
      <c r="D5" s="24" t="s">
        <v>43</v>
      </c>
      <c r="E5" s="10" t="n">
        <v>1</v>
      </c>
      <c r="F5" s="10" t="n">
        <v>1.5</v>
      </c>
      <c r="G5" s="27" t="s">
        <v>44</v>
      </c>
      <c r="H5" s="9"/>
      <c r="I5" s="9"/>
    </row>
    <row r="6" customFormat="false" ht="15" hidden="false" customHeight="false" outlineLevel="0" collapsed="false">
      <c r="A6" s="22" t="s">
        <v>169</v>
      </c>
      <c r="B6" s="23" t="s">
        <v>170</v>
      </c>
      <c r="C6" s="5" t="s">
        <v>171</v>
      </c>
      <c r="D6" s="24" t="s">
        <v>43</v>
      </c>
      <c r="E6" s="6" t="n">
        <v>1</v>
      </c>
      <c r="F6" s="6" t="n">
        <v>0.5</v>
      </c>
      <c r="G6" s="25" t="s">
        <v>44</v>
      </c>
      <c r="H6" s="5"/>
      <c r="I6" s="5"/>
    </row>
    <row r="7" customFormat="false" ht="15" hidden="false" customHeight="false" outlineLevel="0" collapsed="false">
      <c r="A7" s="15" t="s">
        <v>172</v>
      </c>
      <c r="B7" s="26" t="s">
        <v>170</v>
      </c>
      <c r="C7" s="9" t="s">
        <v>173</v>
      </c>
      <c r="D7" s="24" t="s">
        <v>43</v>
      </c>
      <c r="E7" s="10" t="n">
        <v>1</v>
      </c>
      <c r="F7" s="10" t="n">
        <v>1.5</v>
      </c>
      <c r="G7" s="27" t="s">
        <v>44</v>
      </c>
      <c r="H7" s="9"/>
      <c r="I7" s="9"/>
    </row>
    <row r="8" customFormat="false" ht="15" hidden="false" customHeight="false" outlineLevel="0" collapsed="false">
      <c r="A8" s="22" t="s">
        <v>174</v>
      </c>
      <c r="B8" s="23" t="s">
        <v>170</v>
      </c>
      <c r="C8" s="5" t="s">
        <v>175</v>
      </c>
      <c r="D8" s="24" t="s">
        <v>43</v>
      </c>
      <c r="E8" s="6" t="n">
        <v>1</v>
      </c>
      <c r="F8" s="6" t="n">
        <v>1</v>
      </c>
      <c r="G8" s="25" t="s">
        <v>44</v>
      </c>
      <c r="H8" s="5"/>
      <c r="I8" s="5"/>
    </row>
    <row r="9" customFormat="false" ht="15" hidden="false" customHeight="false" outlineLevel="0" collapsed="false">
      <c r="A9" s="15" t="s">
        <v>176</v>
      </c>
      <c r="B9" s="26" t="s">
        <v>177</v>
      </c>
      <c r="C9" s="9" t="s">
        <v>178</v>
      </c>
      <c r="D9" s="24" t="s">
        <v>43</v>
      </c>
      <c r="E9" s="10" t="n">
        <v>2</v>
      </c>
      <c r="F9" s="10" t="n">
        <v>1</v>
      </c>
      <c r="G9" s="27" t="s">
        <v>61</v>
      </c>
      <c r="H9" s="9"/>
      <c r="I9" s="9"/>
    </row>
    <row r="10" customFormat="false" ht="15" hidden="false" customHeight="false" outlineLevel="0" collapsed="false">
      <c r="A10" s="22" t="s">
        <v>179</v>
      </c>
      <c r="B10" s="23" t="s">
        <v>177</v>
      </c>
      <c r="C10" s="5" t="s">
        <v>180</v>
      </c>
      <c r="D10" s="24" t="s">
        <v>43</v>
      </c>
      <c r="E10" s="6" t="n">
        <v>2</v>
      </c>
      <c r="F10" s="6" t="n">
        <v>1</v>
      </c>
      <c r="G10" s="25" t="s">
        <v>61</v>
      </c>
      <c r="H10" s="5"/>
      <c r="I10" s="5"/>
    </row>
    <row r="11" customFormat="false" ht="15" hidden="false" customHeight="false" outlineLevel="0" collapsed="false">
      <c r="A11" s="15" t="s">
        <v>181</v>
      </c>
      <c r="B11" s="26" t="s">
        <v>182</v>
      </c>
      <c r="C11" s="9" t="s">
        <v>183</v>
      </c>
      <c r="D11" s="24" t="s">
        <v>43</v>
      </c>
      <c r="E11" s="10" t="n">
        <v>2</v>
      </c>
      <c r="F11" s="10" t="n">
        <v>1</v>
      </c>
      <c r="G11" s="27" t="s">
        <v>61</v>
      </c>
      <c r="H11" s="9"/>
      <c r="I11" s="9"/>
    </row>
    <row r="12" customFormat="false" ht="15" hidden="false" customHeight="false" outlineLevel="0" collapsed="false">
      <c r="A12" s="22" t="s">
        <v>184</v>
      </c>
      <c r="B12" s="23" t="s">
        <v>182</v>
      </c>
      <c r="C12" s="5" t="s">
        <v>185</v>
      </c>
      <c r="D12" s="24" t="s">
        <v>43</v>
      </c>
      <c r="E12" s="6" t="n">
        <v>2</v>
      </c>
      <c r="F12" s="6" t="n">
        <v>1</v>
      </c>
      <c r="G12" s="25" t="s">
        <v>61</v>
      </c>
      <c r="H12" s="5"/>
      <c r="I12" s="5"/>
    </row>
    <row r="13" customFormat="false" ht="15" hidden="false" customHeight="false" outlineLevel="0" collapsed="false">
      <c r="A13" s="15" t="s">
        <v>186</v>
      </c>
      <c r="B13" s="26" t="s">
        <v>187</v>
      </c>
      <c r="C13" s="9" t="s">
        <v>188</v>
      </c>
      <c r="D13" s="24" t="s">
        <v>43</v>
      </c>
      <c r="E13" s="10" t="n">
        <v>2</v>
      </c>
      <c r="F13" s="10" t="n">
        <v>0.5</v>
      </c>
      <c r="G13" s="27" t="s">
        <v>61</v>
      </c>
      <c r="H13" s="9"/>
      <c r="I13" s="9"/>
    </row>
    <row r="14" customFormat="false" ht="15" hidden="false" customHeight="false" outlineLevel="0" collapsed="false">
      <c r="A14" s="22" t="s">
        <v>189</v>
      </c>
      <c r="B14" s="23" t="s">
        <v>187</v>
      </c>
      <c r="C14" s="5" t="s">
        <v>190</v>
      </c>
      <c r="D14" s="24" t="s">
        <v>43</v>
      </c>
      <c r="E14" s="6" t="n">
        <v>2</v>
      </c>
      <c r="F14" s="6" t="n">
        <v>1.5</v>
      </c>
      <c r="G14" s="25" t="s">
        <v>61</v>
      </c>
      <c r="H14" s="5"/>
      <c r="I14" s="5"/>
    </row>
    <row r="15" customFormat="false" ht="15" hidden="false" customHeight="false" outlineLevel="0" collapsed="false">
      <c r="A15" s="15" t="s">
        <v>191</v>
      </c>
      <c r="B15" s="26" t="s">
        <v>192</v>
      </c>
      <c r="C15" s="9" t="s">
        <v>193</v>
      </c>
      <c r="D15" s="24" t="s">
        <v>43</v>
      </c>
      <c r="E15" s="10" t="n">
        <v>2</v>
      </c>
      <c r="F15" s="10" t="n">
        <v>1</v>
      </c>
      <c r="G15" s="27" t="s">
        <v>61</v>
      </c>
      <c r="H15" s="9"/>
      <c r="I15" s="9"/>
    </row>
    <row r="16" customFormat="false" ht="15" hidden="false" customHeight="false" outlineLevel="0" collapsed="false">
      <c r="A16" s="22" t="s">
        <v>194</v>
      </c>
      <c r="B16" s="23" t="s">
        <v>195</v>
      </c>
      <c r="C16" s="5" t="s">
        <v>196</v>
      </c>
      <c r="D16" s="28" t="s">
        <v>93</v>
      </c>
      <c r="E16" s="6" t="n">
        <v>3</v>
      </c>
      <c r="F16" s="6" t="n">
        <v>1.5</v>
      </c>
      <c r="G16" s="25" t="s">
        <v>61</v>
      </c>
      <c r="H16" s="5"/>
      <c r="I16" s="5"/>
    </row>
    <row r="17" customFormat="false" ht="15" hidden="false" customHeight="false" outlineLevel="0" collapsed="false">
      <c r="A17" s="15" t="s">
        <v>197</v>
      </c>
      <c r="B17" s="26" t="s">
        <v>195</v>
      </c>
      <c r="C17" s="9" t="s">
        <v>198</v>
      </c>
      <c r="D17" s="28" t="s">
        <v>93</v>
      </c>
      <c r="E17" s="10" t="n">
        <v>3</v>
      </c>
      <c r="F17" s="10" t="n">
        <v>1</v>
      </c>
      <c r="G17" s="27" t="s">
        <v>61</v>
      </c>
      <c r="H17" s="9"/>
      <c r="I17" s="9"/>
    </row>
    <row r="18" customFormat="false" ht="15" hidden="false" customHeight="false" outlineLevel="0" collapsed="false">
      <c r="A18" s="22" t="s">
        <v>199</v>
      </c>
      <c r="B18" s="23" t="s">
        <v>200</v>
      </c>
      <c r="C18" s="5" t="s">
        <v>201</v>
      </c>
      <c r="D18" s="28" t="s">
        <v>93</v>
      </c>
      <c r="E18" s="6" t="n">
        <v>3</v>
      </c>
      <c r="F18" s="6" t="n">
        <v>1</v>
      </c>
      <c r="G18" s="25" t="s">
        <v>61</v>
      </c>
      <c r="H18" s="5"/>
      <c r="I18" s="5"/>
    </row>
    <row r="19" customFormat="false" ht="15" hidden="false" customHeight="false" outlineLevel="0" collapsed="false">
      <c r="A19" s="15" t="s">
        <v>202</v>
      </c>
      <c r="B19" s="26" t="s">
        <v>203</v>
      </c>
      <c r="C19" s="9" t="s">
        <v>204</v>
      </c>
      <c r="D19" s="28" t="s">
        <v>93</v>
      </c>
      <c r="E19" s="10" t="n">
        <v>3</v>
      </c>
      <c r="F19" s="10" t="n">
        <v>1</v>
      </c>
      <c r="G19" s="27" t="s">
        <v>61</v>
      </c>
      <c r="H19" s="9"/>
      <c r="I19" s="9"/>
    </row>
    <row r="20" customFormat="false" ht="15" hidden="false" customHeight="false" outlineLevel="0" collapsed="false">
      <c r="A20" s="22" t="s">
        <v>205</v>
      </c>
      <c r="B20" s="23" t="s">
        <v>104</v>
      </c>
      <c r="C20" s="5" t="s">
        <v>105</v>
      </c>
      <c r="D20" s="24" t="s">
        <v>43</v>
      </c>
      <c r="E20" s="6" t="n">
        <v>3</v>
      </c>
      <c r="F20" s="6" t="n">
        <v>1</v>
      </c>
      <c r="G20" s="25" t="s">
        <v>61</v>
      </c>
      <c r="H20" s="5"/>
      <c r="I20" s="5"/>
    </row>
    <row r="21" customFormat="false" ht="15" hidden="false" customHeight="false" outlineLevel="0" collapsed="false">
      <c r="A21" s="15" t="s">
        <v>206</v>
      </c>
      <c r="B21" s="26" t="s">
        <v>104</v>
      </c>
      <c r="C21" s="9" t="s">
        <v>107</v>
      </c>
      <c r="D21" s="24" t="s">
        <v>43</v>
      </c>
      <c r="E21" s="10" t="n">
        <v>3</v>
      </c>
      <c r="F21" s="10" t="n">
        <v>2</v>
      </c>
      <c r="G21" s="27" t="s">
        <v>61</v>
      </c>
      <c r="H21" s="9"/>
      <c r="I21" s="9"/>
    </row>
    <row r="23" customFormat="false" ht="15" hidden="false" customHeight="false" outlineLevel="0" collapsed="false">
      <c r="C23" s="30" t="s">
        <v>108</v>
      </c>
      <c r="F23" s="31" t="n">
        <f aca="false">SUM(F2:F21)</f>
        <v>22</v>
      </c>
    </row>
    <row r="24" customFormat="false" ht="15" hidden="false" customHeight="false" outlineLevel="0" collapsed="false">
      <c r="C24" s="30" t="s">
        <v>109</v>
      </c>
      <c r="F24" s="31" t="n">
        <f aca="false">SUMIF(G2:G21,"Feito",F2:F21)</f>
        <v>0</v>
      </c>
    </row>
  </sheetData>
  <autoFilter ref="A1:I21"/>
  <dataValidations count="1">
    <dataValidation allowBlank="true" errorStyle="stop" operator="between" showDropDown="false" showErrorMessage="false" showInputMessage="false" sqref="G2:G21" type="list">
      <formula1>"Backlog,A Fazer,Fazendo,Em Review,Feito"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48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28"/>
  </cols>
  <sheetData>
    <row r="1" customFormat="false" ht="23.85" hidden="false" customHeight="false" outlineLevel="0" collapsed="false">
      <c r="A1" s="34" t="s">
        <v>31</v>
      </c>
      <c r="B1" s="34" t="s">
        <v>32</v>
      </c>
      <c r="C1" s="34" t="s">
        <v>33</v>
      </c>
      <c r="D1" s="34" t="s">
        <v>34</v>
      </c>
      <c r="E1" s="34" t="s">
        <v>35</v>
      </c>
      <c r="F1" s="34" t="s">
        <v>36</v>
      </c>
      <c r="G1" s="34" t="s">
        <v>37</v>
      </c>
      <c r="H1" s="34" t="s">
        <v>38</v>
      </c>
      <c r="I1" s="34" t="s">
        <v>39</v>
      </c>
    </row>
    <row r="2" customFormat="false" ht="15" hidden="false" customHeight="false" outlineLevel="0" collapsed="false">
      <c r="A2" s="22" t="s">
        <v>207</v>
      </c>
      <c r="B2" s="23" t="s">
        <v>208</v>
      </c>
      <c r="C2" s="5" t="s">
        <v>42</v>
      </c>
      <c r="D2" s="24" t="s">
        <v>43</v>
      </c>
      <c r="E2" s="6" t="n">
        <v>1</v>
      </c>
      <c r="F2" s="6" t="n">
        <v>0.5</v>
      </c>
      <c r="G2" s="25" t="s">
        <v>44</v>
      </c>
      <c r="H2" s="5"/>
      <c r="I2" s="5"/>
    </row>
    <row r="3" customFormat="false" ht="15" hidden="false" customHeight="false" outlineLevel="0" collapsed="false">
      <c r="A3" s="15" t="s">
        <v>209</v>
      </c>
      <c r="B3" s="26" t="s">
        <v>208</v>
      </c>
      <c r="C3" s="9" t="s">
        <v>46</v>
      </c>
      <c r="D3" s="24" t="s">
        <v>43</v>
      </c>
      <c r="E3" s="10" t="n">
        <v>1</v>
      </c>
      <c r="F3" s="10" t="n">
        <v>1.5</v>
      </c>
      <c r="G3" s="27" t="s">
        <v>44</v>
      </c>
      <c r="H3" s="9"/>
      <c r="I3" s="9"/>
    </row>
    <row r="4" customFormat="false" ht="15" hidden="false" customHeight="false" outlineLevel="0" collapsed="false">
      <c r="A4" s="22" t="s">
        <v>210</v>
      </c>
      <c r="B4" s="23" t="s">
        <v>208</v>
      </c>
      <c r="C4" s="5" t="s">
        <v>211</v>
      </c>
      <c r="D4" s="24" t="s">
        <v>43</v>
      </c>
      <c r="E4" s="6" t="n">
        <v>1</v>
      </c>
      <c r="F4" s="6" t="n">
        <v>1</v>
      </c>
      <c r="G4" s="25" t="s">
        <v>44</v>
      </c>
      <c r="H4" s="5"/>
      <c r="I4" s="5"/>
    </row>
    <row r="5" customFormat="false" ht="15" hidden="false" customHeight="false" outlineLevel="0" collapsed="false">
      <c r="A5" s="15" t="s">
        <v>212</v>
      </c>
      <c r="B5" s="26" t="s">
        <v>208</v>
      </c>
      <c r="C5" s="9" t="s">
        <v>213</v>
      </c>
      <c r="D5" s="24" t="s">
        <v>43</v>
      </c>
      <c r="E5" s="10" t="n">
        <v>1</v>
      </c>
      <c r="F5" s="10" t="n">
        <v>1</v>
      </c>
      <c r="G5" s="27" t="s">
        <v>44</v>
      </c>
      <c r="H5" s="9"/>
      <c r="I5" s="9"/>
    </row>
    <row r="6" customFormat="false" ht="15" hidden="false" customHeight="false" outlineLevel="0" collapsed="false">
      <c r="A6" s="22" t="s">
        <v>214</v>
      </c>
      <c r="B6" s="23" t="s">
        <v>215</v>
      </c>
      <c r="C6" s="5" t="s">
        <v>216</v>
      </c>
      <c r="D6" s="24" t="s">
        <v>43</v>
      </c>
      <c r="E6" s="6" t="n">
        <v>1</v>
      </c>
      <c r="F6" s="6" t="n">
        <v>0.5</v>
      </c>
      <c r="G6" s="25" t="s">
        <v>44</v>
      </c>
      <c r="H6" s="5"/>
      <c r="I6" s="5"/>
    </row>
    <row r="7" customFormat="false" ht="15" hidden="false" customHeight="false" outlineLevel="0" collapsed="false">
      <c r="A7" s="15" t="s">
        <v>217</v>
      </c>
      <c r="B7" s="26" t="s">
        <v>215</v>
      </c>
      <c r="C7" s="9" t="s">
        <v>218</v>
      </c>
      <c r="D7" s="24" t="s">
        <v>43</v>
      </c>
      <c r="E7" s="10" t="n">
        <v>1</v>
      </c>
      <c r="F7" s="10" t="n">
        <v>1</v>
      </c>
      <c r="G7" s="27" t="s">
        <v>44</v>
      </c>
      <c r="H7" s="9"/>
      <c r="I7" s="9"/>
    </row>
    <row r="8" customFormat="false" ht="15" hidden="false" customHeight="false" outlineLevel="0" collapsed="false">
      <c r="A8" s="22" t="s">
        <v>219</v>
      </c>
      <c r="B8" s="23" t="s">
        <v>220</v>
      </c>
      <c r="C8" s="5" t="s">
        <v>221</v>
      </c>
      <c r="D8" s="24" t="s">
        <v>43</v>
      </c>
      <c r="E8" s="6" t="n">
        <v>2</v>
      </c>
      <c r="F8" s="6" t="n">
        <v>0.5</v>
      </c>
      <c r="G8" s="25" t="s">
        <v>61</v>
      </c>
      <c r="H8" s="5"/>
      <c r="I8" s="5"/>
    </row>
    <row r="9" customFormat="false" ht="15" hidden="false" customHeight="false" outlineLevel="0" collapsed="false">
      <c r="A9" s="15" t="s">
        <v>222</v>
      </c>
      <c r="B9" s="26" t="s">
        <v>220</v>
      </c>
      <c r="C9" s="9" t="s">
        <v>223</v>
      </c>
      <c r="D9" s="24" t="s">
        <v>43</v>
      </c>
      <c r="E9" s="10" t="n">
        <v>2</v>
      </c>
      <c r="F9" s="10" t="n">
        <v>1</v>
      </c>
      <c r="G9" s="27" t="s">
        <v>61</v>
      </c>
      <c r="H9" s="9"/>
      <c r="I9" s="9"/>
    </row>
    <row r="10" customFormat="false" ht="15" hidden="false" customHeight="false" outlineLevel="0" collapsed="false">
      <c r="A10" s="22" t="s">
        <v>224</v>
      </c>
      <c r="B10" s="23" t="s">
        <v>220</v>
      </c>
      <c r="C10" s="5" t="s">
        <v>225</v>
      </c>
      <c r="D10" s="24" t="s">
        <v>43</v>
      </c>
      <c r="E10" s="6" t="n">
        <v>2</v>
      </c>
      <c r="F10" s="6" t="n">
        <v>1</v>
      </c>
      <c r="G10" s="25" t="s">
        <v>61</v>
      </c>
      <c r="H10" s="5"/>
      <c r="I10" s="5"/>
    </row>
    <row r="11" customFormat="false" ht="15" hidden="false" customHeight="false" outlineLevel="0" collapsed="false">
      <c r="A11" s="15" t="s">
        <v>226</v>
      </c>
      <c r="B11" s="26" t="s">
        <v>227</v>
      </c>
      <c r="C11" s="9" t="s">
        <v>228</v>
      </c>
      <c r="D11" s="24" t="s">
        <v>43</v>
      </c>
      <c r="E11" s="10" t="n">
        <v>2</v>
      </c>
      <c r="F11" s="10" t="n">
        <v>1.5</v>
      </c>
      <c r="G11" s="27" t="s">
        <v>61</v>
      </c>
      <c r="H11" s="9"/>
      <c r="I11" s="9"/>
    </row>
    <row r="12" customFormat="false" ht="15" hidden="false" customHeight="false" outlineLevel="0" collapsed="false">
      <c r="A12" s="22" t="s">
        <v>229</v>
      </c>
      <c r="B12" s="23" t="s">
        <v>227</v>
      </c>
      <c r="C12" s="5" t="s">
        <v>230</v>
      </c>
      <c r="D12" s="24" t="s">
        <v>43</v>
      </c>
      <c r="E12" s="6" t="n">
        <v>2</v>
      </c>
      <c r="F12" s="6" t="n">
        <v>0.5</v>
      </c>
      <c r="G12" s="25" t="s">
        <v>61</v>
      </c>
      <c r="H12" s="5"/>
      <c r="I12" s="5"/>
    </row>
    <row r="13" customFormat="false" ht="15" hidden="false" customHeight="false" outlineLevel="0" collapsed="false">
      <c r="A13" s="15" t="s">
        <v>231</v>
      </c>
      <c r="B13" s="26" t="s">
        <v>232</v>
      </c>
      <c r="C13" s="9" t="s">
        <v>233</v>
      </c>
      <c r="D13" s="24" t="s">
        <v>43</v>
      </c>
      <c r="E13" s="10" t="n">
        <v>2</v>
      </c>
      <c r="F13" s="10" t="n">
        <v>1</v>
      </c>
      <c r="G13" s="27" t="s">
        <v>61</v>
      </c>
      <c r="H13" s="9"/>
      <c r="I13" s="9"/>
    </row>
    <row r="14" customFormat="false" ht="15" hidden="false" customHeight="false" outlineLevel="0" collapsed="false">
      <c r="A14" s="22" t="s">
        <v>234</v>
      </c>
      <c r="B14" s="23" t="s">
        <v>232</v>
      </c>
      <c r="C14" s="5" t="s">
        <v>235</v>
      </c>
      <c r="D14" s="24" t="s">
        <v>43</v>
      </c>
      <c r="E14" s="6" t="n">
        <v>2</v>
      </c>
      <c r="F14" s="6" t="n">
        <v>1</v>
      </c>
      <c r="G14" s="25" t="s">
        <v>61</v>
      </c>
      <c r="H14" s="5"/>
      <c r="I14" s="5"/>
    </row>
    <row r="15" customFormat="false" ht="15" hidden="false" customHeight="false" outlineLevel="0" collapsed="false">
      <c r="A15" s="15" t="s">
        <v>236</v>
      </c>
      <c r="B15" s="26" t="s">
        <v>237</v>
      </c>
      <c r="C15" s="9" t="s">
        <v>238</v>
      </c>
      <c r="D15" s="24" t="s">
        <v>43</v>
      </c>
      <c r="E15" s="10" t="n">
        <v>2</v>
      </c>
      <c r="F15" s="10" t="n">
        <v>1</v>
      </c>
      <c r="G15" s="27" t="s">
        <v>61</v>
      </c>
      <c r="H15" s="9"/>
      <c r="I15" s="9"/>
    </row>
    <row r="16" customFormat="false" ht="15" hidden="false" customHeight="false" outlineLevel="0" collapsed="false">
      <c r="A16" s="22" t="s">
        <v>239</v>
      </c>
      <c r="B16" s="23" t="s">
        <v>237</v>
      </c>
      <c r="C16" s="5" t="s">
        <v>240</v>
      </c>
      <c r="D16" s="24" t="s">
        <v>43</v>
      </c>
      <c r="E16" s="6" t="n">
        <v>2</v>
      </c>
      <c r="F16" s="6" t="n">
        <v>1</v>
      </c>
      <c r="G16" s="25" t="s">
        <v>61</v>
      </c>
      <c r="H16" s="5"/>
      <c r="I16" s="5"/>
    </row>
    <row r="17" customFormat="false" ht="15" hidden="false" customHeight="false" outlineLevel="0" collapsed="false">
      <c r="A17" s="15" t="s">
        <v>241</v>
      </c>
      <c r="B17" s="26" t="s">
        <v>242</v>
      </c>
      <c r="C17" s="9" t="s">
        <v>243</v>
      </c>
      <c r="D17" s="24" t="s">
        <v>43</v>
      </c>
      <c r="E17" s="10" t="n">
        <v>2</v>
      </c>
      <c r="F17" s="10" t="n">
        <v>1</v>
      </c>
      <c r="G17" s="27" t="s">
        <v>61</v>
      </c>
      <c r="H17" s="9"/>
      <c r="I17" s="9"/>
    </row>
    <row r="18" customFormat="false" ht="15" hidden="false" customHeight="false" outlineLevel="0" collapsed="false">
      <c r="A18" s="22" t="s">
        <v>244</v>
      </c>
      <c r="B18" s="23" t="s">
        <v>242</v>
      </c>
      <c r="C18" s="5" t="s">
        <v>245</v>
      </c>
      <c r="D18" s="24" t="s">
        <v>43</v>
      </c>
      <c r="E18" s="6" t="n">
        <v>2</v>
      </c>
      <c r="F18" s="6" t="n">
        <v>1</v>
      </c>
      <c r="G18" s="25" t="s">
        <v>61</v>
      </c>
      <c r="H18" s="5"/>
      <c r="I18" s="5"/>
    </row>
    <row r="19" customFormat="false" ht="15" hidden="false" customHeight="false" outlineLevel="0" collapsed="false">
      <c r="A19" s="15" t="s">
        <v>246</v>
      </c>
      <c r="B19" s="26" t="s">
        <v>247</v>
      </c>
      <c r="C19" s="9" t="s">
        <v>248</v>
      </c>
      <c r="D19" s="28" t="s">
        <v>93</v>
      </c>
      <c r="E19" s="10" t="n">
        <v>3</v>
      </c>
      <c r="F19" s="10" t="n">
        <v>1</v>
      </c>
      <c r="G19" s="27" t="s">
        <v>61</v>
      </c>
      <c r="H19" s="9"/>
      <c r="I19" s="9"/>
    </row>
    <row r="20" customFormat="false" ht="15" hidden="false" customHeight="false" outlineLevel="0" collapsed="false">
      <c r="A20" s="22" t="s">
        <v>249</v>
      </c>
      <c r="B20" s="23" t="s">
        <v>250</v>
      </c>
      <c r="C20" s="5" t="s">
        <v>251</v>
      </c>
      <c r="D20" s="28" t="s">
        <v>93</v>
      </c>
      <c r="E20" s="6" t="n">
        <v>3</v>
      </c>
      <c r="F20" s="6" t="n">
        <v>1.5</v>
      </c>
      <c r="G20" s="25" t="s">
        <v>61</v>
      </c>
      <c r="H20" s="5"/>
      <c r="I20" s="5"/>
    </row>
    <row r="21" customFormat="false" ht="15" hidden="false" customHeight="false" outlineLevel="0" collapsed="false">
      <c r="A21" s="15" t="s">
        <v>252</v>
      </c>
      <c r="B21" s="26" t="s">
        <v>250</v>
      </c>
      <c r="C21" s="9" t="s">
        <v>253</v>
      </c>
      <c r="D21" s="28" t="s">
        <v>93</v>
      </c>
      <c r="E21" s="10" t="n">
        <v>3</v>
      </c>
      <c r="F21" s="10" t="n">
        <v>1</v>
      </c>
      <c r="G21" s="27" t="s">
        <v>61</v>
      </c>
      <c r="H21" s="9"/>
      <c r="I21" s="9"/>
    </row>
    <row r="22" customFormat="false" ht="15" hidden="false" customHeight="false" outlineLevel="0" collapsed="false">
      <c r="A22" s="22" t="s">
        <v>254</v>
      </c>
      <c r="B22" s="23" t="s">
        <v>104</v>
      </c>
      <c r="C22" s="5" t="s">
        <v>105</v>
      </c>
      <c r="D22" s="24" t="s">
        <v>43</v>
      </c>
      <c r="E22" s="6" t="n">
        <v>3</v>
      </c>
      <c r="F22" s="6" t="n">
        <v>1</v>
      </c>
      <c r="G22" s="25" t="s">
        <v>61</v>
      </c>
      <c r="H22" s="5"/>
      <c r="I22" s="5"/>
    </row>
    <row r="23" customFormat="false" ht="15" hidden="false" customHeight="false" outlineLevel="0" collapsed="false">
      <c r="A23" s="15" t="s">
        <v>255</v>
      </c>
      <c r="B23" s="26" t="s">
        <v>104</v>
      </c>
      <c r="C23" s="9" t="s">
        <v>107</v>
      </c>
      <c r="D23" s="24" t="s">
        <v>43</v>
      </c>
      <c r="E23" s="10" t="n">
        <v>3</v>
      </c>
      <c r="F23" s="10" t="n">
        <v>2</v>
      </c>
      <c r="G23" s="27" t="s">
        <v>61</v>
      </c>
      <c r="H23" s="9"/>
      <c r="I23" s="9"/>
    </row>
    <row r="24" customFormat="false" ht="15" hidden="false" customHeight="false" outlineLevel="0" collapsed="false">
      <c r="A24" s="22" t="s">
        <v>256</v>
      </c>
      <c r="B24" s="23" t="s">
        <v>104</v>
      </c>
      <c r="C24" s="5" t="s">
        <v>257</v>
      </c>
      <c r="D24" s="24" t="s">
        <v>43</v>
      </c>
      <c r="E24" s="6" t="n">
        <v>3</v>
      </c>
      <c r="F24" s="6" t="n">
        <v>1</v>
      </c>
      <c r="G24" s="25" t="s">
        <v>61</v>
      </c>
      <c r="H24" s="5"/>
      <c r="I24" s="5"/>
    </row>
    <row r="26" customFormat="false" ht="15" hidden="false" customHeight="false" outlineLevel="0" collapsed="false">
      <c r="C26" s="30" t="s">
        <v>108</v>
      </c>
      <c r="F26" s="31" t="n">
        <f aca="false">SUM(F2:F24)</f>
        <v>23.5</v>
      </c>
    </row>
    <row r="27" customFormat="false" ht="15" hidden="false" customHeight="false" outlineLevel="0" collapsed="false">
      <c r="C27" s="30" t="s">
        <v>109</v>
      </c>
      <c r="F27" s="31" t="n">
        <f aca="false">SUMIF(G2:G24,"Feito",F2:F24)</f>
        <v>0</v>
      </c>
    </row>
  </sheetData>
  <autoFilter ref="A1:I24"/>
  <dataValidations count="1">
    <dataValidation allowBlank="true" errorStyle="stop" operator="between" showDropDown="false" showErrorMessage="false" showInputMessage="false" sqref="G2:G24" type="list">
      <formula1>"Backlog,A Fazer,Fazendo,Em Review,Feito"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48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28"/>
  </cols>
  <sheetData>
    <row r="1" customFormat="false" ht="23.85" hidden="false" customHeight="false" outlineLevel="0" collapsed="false">
      <c r="A1" s="35" t="s">
        <v>31</v>
      </c>
      <c r="B1" s="35" t="s">
        <v>32</v>
      </c>
      <c r="C1" s="35" t="s">
        <v>33</v>
      </c>
      <c r="D1" s="35" t="s">
        <v>34</v>
      </c>
      <c r="E1" s="35" t="s">
        <v>35</v>
      </c>
      <c r="F1" s="35" t="s">
        <v>36</v>
      </c>
      <c r="G1" s="35" t="s">
        <v>37</v>
      </c>
      <c r="H1" s="35" t="s">
        <v>38</v>
      </c>
      <c r="I1" s="35" t="s">
        <v>39</v>
      </c>
    </row>
    <row r="2" customFormat="false" ht="15" hidden="false" customHeight="false" outlineLevel="0" collapsed="false">
      <c r="A2" s="22" t="s">
        <v>258</v>
      </c>
      <c r="B2" s="23" t="s">
        <v>259</v>
      </c>
      <c r="C2" s="5" t="s">
        <v>42</v>
      </c>
      <c r="D2" s="24" t="s">
        <v>43</v>
      </c>
      <c r="E2" s="6" t="n">
        <v>1</v>
      </c>
      <c r="F2" s="6" t="n">
        <v>0.5</v>
      </c>
      <c r="G2" s="25" t="s">
        <v>44</v>
      </c>
      <c r="H2" s="5"/>
      <c r="I2" s="5"/>
    </row>
    <row r="3" customFormat="false" ht="15" hidden="false" customHeight="false" outlineLevel="0" collapsed="false">
      <c r="A3" s="15" t="s">
        <v>260</v>
      </c>
      <c r="B3" s="26" t="s">
        <v>259</v>
      </c>
      <c r="C3" s="9" t="s">
        <v>46</v>
      </c>
      <c r="D3" s="24" t="s">
        <v>43</v>
      </c>
      <c r="E3" s="10" t="n">
        <v>1</v>
      </c>
      <c r="F3" s="10" t="n">
        <v>1.5</v>
      </c>
      <c r="G3" s="27" t="s">
        <v>44</v>
      </c>
      <c r="H3" s="9"/>
      <c r="I3" s="9"/>
    </row>
    <row r="4" customFormat="false" ht="15" hidden="false" customHeight="false" outlineLevel="0" collapsed="false">
      <c r="A4" s="22" t="s">
        <v>261</v>
      </c>
      <c r="B4" s="23" t="s">
        <v>259</v>
      </c>
      <c r="C4" s="5" t="s">
        <v>262</v>
      </c>
      <c r="D4" s="24" t="s">
        <v>43</v>
      </c>
      <c r="E4" s="6" t="n">
        <v>1</v>
      </c>
      <c r="F4" s="6" t="n">
        <v>1.5</v>
      </c>
      <c r="G4" s="25" t="s">
        <v>44</v>
      </c>
      <c r="H4" s="5"/>
      <c r="I4" s="5"/>
    </row>
    <row r="5" customFormat="false" ht="15" hidden="false" customHeight="false" outlineLevel="0" collapsed="false">
      <c r="A5" s="15" t="s">
        <v>263</v>
      </c>
      <c r="B5" s="26" t="s">
        <v>264</v>
      </c>
      <c r="C5" s="9" t="s">
        <v>265</v>
      </c>
      <c r="D5" s="24" t="s">
        <v>43</v>
      </c>
      <c r="E5" s="10" t="n">
        <v>1</v>
      </c>
      <c r="F5" s="10" t="n">
        <v>0.5</v>
      </c>
      <c r="G5" s="27" t="s">
        <v>44</v>
      </c>
      <c r="H5" s="9"/>
      <c r="I5" s="9"/>
    </row>
    <row r="6" customFormat="false" ht="15" hidden="false" customHeight="false" outlineLevel="0" collapsed="false">
      <c r="A6" s="22" t="s">
        <v>266</v>
      </c>
      <c r="B6" s="23" t="s">
        <v>264</v>
      </c>
      <c r="C6" s="5" t="s">
        <v>267</v>
      </c>
      <c r="D6" s="24" t="s">
        <v>43</v>
      </c>
      <c r="E6" s="6" t="n">
        <v>1</v>
      </c>
      <c r="F6" s="6" t="n">
        <v>1.5</v>
      </c>
      <c r="G6" s="25" t="s">
        <v>44</v>
      </c>
      <c r="H6" s="5"/>
      <c r="I6" s="5"/>
    </row>
    <row r="7" customFormat="false" ht="15" hidden="false" customHeight="false" outlineLevel="0" collapsed="false">
      <c r="A7" s="15" t="s">
        <v>268</v>
      </c>
      <c r="B7" s="26" t="s">
        <v>269</v>
      </c>
      <c r="C7" s="9" t="s">
        <v>270</v>
      </c>
      <c r="D7" s="24" t="s">
        <v>43</v>
      </c>
      <c r="E7" s="10" t="n">
        <v>1</v>
      </c>
      <c r="F7" s="10" t="n">
        <v>1</v>
      </c>
      <c r="G7" s="27" t="s">
        <v>44</v>
      </c>
      <c r="H7" s="9"/>
      <c r="I7" s="9"/>
    </row>
    <row r="8" customFormat="false" ht="15" hidden="false" customHeight="false" outlineLevel="0" collapsed="false">
      <c r="A8" s="22" t="s">
        <v>271</v>
      </c>
      <c r="B8" s="23" t="s">
        <v>269</v>
      </c>
      <c r="C8" s="5" t="s">
        <v>272</v>
      </c>
      <c r="D8" s="24" t="s">
        <v>43</v>
      </c>
      <c r="E8" s="6" t="n">
        <v>1</v>
      </c>
      <c r="F8" s="6" t="n">
        <v>2</v>
      </c>
      <c r="G8" s="25" t="s">
        <v>44</v>
      </c>
      <c r="H8" s="5"/>
      <c r="I8" s="5"/>
    </row>
    <row r="9" customFormat="false" ht="15" hidden="false" customHeight="false" outlineLevel="0" collapsed="false">
      <c r="A9" s="15" t="s">
        <v>273</v>
      </c>
      <c r="B9" s="26" t="s">
        <v>269</v>
      </c>
      <c r="C9" s="9" t="s">
        <v>274</v>
      </c>
      <c r="D9" s="24" t="s">
        <v>43</v>
      </c>
      <c r="E9" s="10" t="n">
        <v>1</v>
      </c>
      <c r="F9" s="10" t="n">
        <v>2</v>
      </c>
      <c r="G9" s="27" t="s">
        <v>44</v>
      </c>
      <c r="H9" s="9"/>
      <c r="I9" s="9"/>
    </row>
    <row r="10" customFormat="false" ht="15" hidden="false" customHeight="false" outlineLevel="0" collapsed="false">
      <c r="A10" s="22" t="s">
        <v>275</v>
      </c>
      <c r="B10" s="23" t="s">
        <v>269</v>
      </c>
      <c r="C10" s="5" t="s">
        <v>276</v>
      </c>
      <c r="D10" s="24" t="s">
        <v>43</v>
      </c>
      <c r="E10" s="6" t="n">
        <v>2</v>
      </c>
      <c r="F10" s="6" t="n">
        <v>1</v>
      </c>
      <c r="G10" s="25" t="s">
        <v>61</v>
      </c>
      <c r="H10" s="5"/>
      <c r="I10" s="5"/>
    </row>
    <row r="11" customFormat="false" ht="15" hidden="false" customHeight="false" outlineLevel="0" collapsed="false">
      <c r="A11" s="15" t="s">
        <v>277</v>
      </c>
      <c r="B11" s="26" t="s">
        <v>278</v>
      </c>
      <c r="C11" s="9" t="s">
        <v>279</v>
      </c>
      <c r="D11" s="24" t="s">
        <v>43</v>
      </c>
      <c r="E11" s="10" t="n">
        <v>2</v>
      </c>
      <c r="F11" s="10" t="n">
        <v>1</v>
      </c>
      <c r="G11" s="27" t="s">
        <v>61</v>
      </c>
      <c r="H11" s="9"/>
      <c r="I11" s="9"/>
    </row>
    <row r="12" customFormat="false" ht="15" hidden="false" customHeight="false" outlineLevel="0" collapsed="false">
      <c r="A12" s="22" t="s">
        <v>280</v>
      </c>
      <c r="B12" s="23" t="s">
        <v>278</v>
      </c>
      <c r="C12" s="5" t="s">
        <v>281</v>
      </c>
      <c r="D12" s="24" t="s">
        <v>43</v>
      </c>
      <c r="E12" s="6" t="n">
        <v>2</v>
      </c>
      <c r="F12" s="6" t="n">
        <v>1</v>
      </c>
      <c r="G12" s="25" t="s">
        <v>61</v>
      </c>
      <c r="H12" s="5"/>
      <c r="I12" s="5"/>
    </row>
    <row r="13" customFormat="false" ht="15" hidden="false" customHeight="false" outlineLevel="0" collapsed="false">
      <c r="A13" s="15" t="s">
        <v>282</v>
      </c>
      <c r="B13" s="26" t="s">
        <v>283</v>
      </c>
      <c r="C13" s="9" t="s">
        <v>284</v>
      </c>
      <c r="D13" s="24" t="s">
        <v>43</v>
      </c>
      <c r="E13" s="10" t="n">
        <v>2</v>
      </c>
      <c r="F13" s="10" t="n">
        <v>1.5</v>
      </c>
      <c r="G13" s="27" t="s">
        <v>61</v>
      </c>
      <c r="H13" s="9"/>
      <c r="I13" s="9"/>
    </row>
    <row r="14" customFormat="false" ht="15" hidden="false" customHeight="false" outlineLevel="0" collapsed="false">
      <c r="A14" s="22" t="s">
        <v>285</v>
      </c>
      <c r="B14" s="23" t="s">
        <v>283</v>
      </c>
      <c r="C14" s="5" t="s">
        <v>286</v>
      </c>
      <c r="D14" s="24" t="s">
        <v>43</v>
      </c>
      <c r="E14" s="6" t="n">
        <v>2</v>
      </c>
      <c r="F14" s="6" t="n">
        <v>0.5</v>
      </c>
      <c r="G14" s="25" t="s">
        <v>61</v>
      </c>
      <c r="H14" s="5"/>
      <c r="I14" s="5"/>
    </row>
    <row r="15" customFormat="false" ht="15" hidden="false" customHeight="false" outlineLevel="0" collapsed="false">
      <c r="A15" s="15" t="s">
        <v>287</v>
      </c>
      <c r="B15" s="26" t="s">
        <v>288</v>
      </c>
      <c r="C15" s="9" t="s">
        <v>289</v>
      </c>
      <c r="D15" s="24" t="s">
        <v>43</v>
      </c>
      <c r="E15" s="10" t="n">
        <v>2</v>
      </c>
      <c r="F15" s="10" t="n">
        <v>1</v>
      </c>
      <c r="G15" s="27" t="s">
        <v>61</v>
      </c>
      <c r="H15" s="9"/>
      <c r="I15" s="9"/>
    </row>
    <row r="16" customFormat="false" ht="15" hidden="false" customHeight="false" outlineLevel="0" collapsed="false">
      <c r="A16" s="22" t="s">
        <v>290</v>
      </c>
      <c r="B16" s="23" t="s">
        <v>288</v>
      </c>
      <c r="C16" s="5" t="s">
        <v>291</v>
      </c>
      <c r="D16" s="24" t="s">
        <v>43</v>
      </c>
      <c r="E16" s="6" t="n">
        <v>2</v>
      </c>
      <c r="F16" s="6" t="n">
        <v>1</v>
      </c>
      <c r="G16" s="25" t="s">
        <v>61</v>
      </c>
      <c r="H16" s="5"/>
      <c r="I16" s="5"/>
    </row>
    <row r="17" customFormat="false" ht="15" hidden="false" customHeight="false" outlineLevel="0" collapsed="false">
      <c r="A17" s="15" t="s">
        <v>292</v>
      </c>
      <c r="B17" s="26" t="s">
        <v>293</v>
      </c>
      <c r="C17" s="9" t="s">
        <v>294</v>
      </c>
      <c r="D17" s="28" t="s">
        <v>93</v>
      </c>
      <c r="E17" s="10" t="n">
        <v>3</v>
      </c>
      <c r="F17" s="10" t="n">
        <v>1.5</v>
      </c>
      <c r="G17" s="27" t="s">
        <v>61</v>
      </c>
      <c r="H17" s="9"/>
      <c r="I17" s="9"/>
    </row>
    <row r="18" customFormat="false" ht="15" hidden="false" customHeight="false" outlineLevel="0" collapsed="false">
      <c r="A18" s="22" t="s">
        <v>295</v>
      </c>
      <c r="B18" s="23" t="s">
        <v>293</v>
      </c>
      <c r="C18" s="5" t="s">
        <v>296</v>
      </c>
      <c r="D18" s="28" t="s">
        <v>93</v>
      </c>
      <c r="E18" s="6" t="n">
        <v>3</v>
      </c>
      <c r="F18" s="6" t="n">
        <v>0.5</v>
      </c>
      <c r="G18" s="25" t="s">
        <v>61</v>
      </c>
      <c r="H18" s="5"/>
      <c r="I18" s="5"/>
    </row>
    <row r="19" customFormat="false" ht="15" hidden="false" customHeight="false" outlineLevel="0" collapsed="false">
      <c r="A19" s="15" t="s">
        <v>297</v>
      </c>
      <c r="B19" s="26" t="s">
        <v>298</v>
      </c>
      <c r="C19" s="9" t="s">
        <v>96</v>
      </c>
      <c r="D19" s="28" t="s">
        <v>93</v>
      </c>
      <c r="E19" s="10" t="n">
        <v>3</v>
      </c>
      <c r="F19" s="10" t="n">
        <v>0.5</v>
      </c>
      <c r="G19" s="27" t="s">
        <v>61</v>
      </c>
      <c r="H19" s="9"/>
      <c r="I19" s="9"/>
    </row>
    <row r="20" customFormat="false" ht="15" hidden="false" customHeight="false" outlineLevel="0" collapsed="false">
      <c r="A20" s="22" t="s">
        <v>299</v>
      </c>
      <c r="B20" s="23" t="s">
        <v>298</v>
      </c>
      <c r="C20" s="5" t="s">
        <v>300</v>
      </c>
      <c r="D20" s="28" t="s">
        <v>93</v>
      </c>
      <c r="E20" s="6" t="n">
        <v>3</v>
      </c>
      <c r="F20" s="6" t="n">
        <v>1</v>
      </c>
      <c r="G20" s="25" t="s">
        <v>61</v>
      </c>
      <c r="H20" s="5"/>
      <c r="I20" s="5"/>
    </row>
    <row r="21" customFormat="false" ht="15" hidden="false" customHeight="false" outlineLevel="0" collapsed="false">
      <c r="A21" s="15" t="s">
        <v>301</v>
      </c>
      <c r="B21" s="26" t="s">
        <v>302</v>
      </c>
      <c r="C21" s="9" t="s">
        <v>303</v>
      </c>
      <c r="D21" s="29" t="s">
        <v>102</v>
      </c>
      <c r="E21" s="10" t="n">
        <v>3</v>
      </c>
      <c r="F21" s="10" t="n">
        <v>1.5</v>
      </c>
      <c r="G21" s="27" t="s">
        <v>61</v>
      </c>
      <c r="H21" s="9"/>
      <c r="I21" s="9"/>
    </row>
    <row r="22" customFormat="false" ht="15" hidden="false" customHeight="false" outlineLevel="0" collapsed="false">
      <c r="A22" s="22" t="s">
        <v>304</v>
      </c>
      <c r="B22" s="23" t="s">
        <v>104</v>
      </c>
      <c r="C22" s="5" t="s">
        <v>105</v>
      </c>
      <c r="D22" s="24" t="s">
        <v>43</v>
      </c>
      <c r="E22" s="6" t="n">
        <v>3</v>
      </c>
      <c r="F22" s="6" t="n">
        <v>1</v>
      </c>
      <c r="G22" s="25" t="s">
        <v>61</v>
      </c>
      <c r="H22" s="5"/>
      <c r="I22" s="5"/>
    </row>
    <row r="23" customFormat="false" ht="15" hidden="false" customHeight="false" outlineLevel="0" collapsed="false">
      <c r="A23" s="15" t="s">
        <v>305</v>
      </c>
      <c r="B23" s="26" t="s">
        <v>104</v>
      </c>
      <c r="C23" s="9" t="s">
        <v>107</v>
      </c>
      <c r="D23" s="24" t="s">
        <v>43</v>
      </c>
      <c r="E23" s="10" t="n">
        <v>3</v>
      </c>
      <c r="F23" s="10" t="n">
        <v>2</v>
      </c>
      <c r="G23" s="27" t="s">
        <v>61</v>
      </c>
      <c r="H23" s="9"/>
      <c r="I23" s="9"/>
    </row>
    <row r="24" customFormat="false" ht="15" hidden="false" customHeight="false" outlineLevel="0" collapsed="false">
      <c r="A24" s="22" t="s">
        <v>306</v>
      </c>
      <c r="B24" s="23" t="s">
        <v>104</v>
      </c>
      <c r="C24" s="5" t="s">
        <v>307</v>
      </c>
      <c r="D24" s="24" t="s">
        <v>43</v>
      </c>
      <c r="E24" s="6" t="n">
        <v>3</v>
      </c>
      <c r="F24" s="6" t="n">
        <v>1</v>
      </c>
      <c r="G24" s="25" t="s">
        <v>61</v>
      </c>
      <c r="H24" s="5"/>
      <c r="I24" s="5"/>
    </row>
    <row r="26" customFormat="false" ht="15" hidden="false" customHeight="false" outlineLevel="0" collapsed="false">
      <c r="C26" s="30" t="s">
        <v>108</v>
      </c>
      <c r="F26" s="31" t="n">
        <f aca="false">SUM(F2:F24)</f>
        <v>26.5</v>
      </c>
    </row>
    <row r="27" customFormat="false" ht="15" hidden="false" customHeight="false" outlineLevel="0" collapsed="false">
      <c r="C27" s="30" t="s">
        <v>109</v>
      </c>
      <c r="F27" s="31" t="n">
        <f aca="false">SUMIF(G2:G24,"Feito",F2:F24)</f>
        <v>0</v>
      </c>
    </row>
  </sheetData>
  <autoFilter ref="A1:I24"/>
  <dataValidations count="1">
    <dataValidation allowBlank="true" errorStyle="stop" operator="between" showDropDown="false" showErrorMessage="false" showInputMessage="false" sqref="G2:G24" type="list">
      <formula1>"Backlog,A Fazer,Fazendo,Em Review,Feito"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48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28"/>
  </cols>
  <sheetData>
    <row r="1" customFormat="false" ht="23.85" hidden="false" customHeight="false" outlineLevel="0" collapsed="false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</row>
    <row r="2" customFormat="false" ht="15" hidden="false" customHeight="false" outlineLevel="0" collapsed="false">
      <c r="A2" s="22" t="s">
        <v>308</v>
      </c>
      <c r="B2" s="23" t="s">
        <v>309</v>
      </c>
      <c r="C2" s="5" t="s">
        <v>42</v>
      </c>
      <c r="D2" s="24" t="s">
        <v>43</v>
      </c>
      <c r="E2" s="6" t="n">
        <v>1</v>
      </c>
      <c r="F2" s="6" t="n">
        <v>0.5</v>
      </c>
      <c r="G2" s="25" t="s">
        <v>44</v>
      </c>
      <c r="H2" s="5"/>
      <c r="I2" s="5"/>
    </row>
    <row r="3" customFormat="false" ht="15" hidden="false" customHeight="false" outlineLevel="0" collapsed="false">
      <c r="A3" s="15" t="s">
        <v>310</v>
      </c>
      <c r="B3" s="26" t="s">
        <v>309</v>
      </c>
      <c r="C3" s="9" t="s">
        <v>46</v>
      </c>
      <c r="D3" s="24" t="s">
        <v>43</v>
      </c>
      <c r="E3" s="10" t="n">
        <v>1</v>
      </c>
      <c r="F3" s="10" t="n">
        <v>1.5</v>
      </c>
      <c r="G3" s="27" t="s">
        <v>44</v>
      </c>
      <c r="H3" s="9"/>
      <c r="I3" s="9"/>
    </row>
    <row r="4" customFormat="false" ht="15" hidden="false" customHeight="false" outlineLevel="0" collapsed="false">
      <c r="A4" s="22" t="s">
        <v>311</v>
      </c>
      <c r="B4" s="23" t="s">
        <v>309</v>
      </c>
      <c r="C4" s="5" t="s">
        <v>262</v>
      </c>
      <c r="D4" s="24" t="s">
        <v>43</v>
      </c>
      <c r="E4" s="6" t="n">
        <v>1</v>
      </c>
      <c r="F4" s="6" t="n">
        <v>1.5</v>
      </c>
      <c r="G4" s="25" t="s">
        <v>44</v>
      </c>
      <c r="H4" s="5"/>
      <c r="I4" s="5"/>
    </row>
    <row r="5" customFormat="false" ht="15" hidden="false" customHeight="false" outlineLevel="0" collapsed="false">
      <c r="A5" s="15" t="s">
        <v>312</v>
      </c>
      <c r="B5" s="26" t="s">
        <v>313</v>
      </c>
      <c r="C5" s="9" t="s">
        <v>314</v>
      </c>
      <c r="D5" s="24" t="s">
        <v>43</v>
      </c>
      <c r="E5" s="10" t="n">
        <v>1</v>
      </c>
      <c r="F5" s="10" t="n">
        <v>0.5</v>
      </c>
      <c r="G5" s="27" t="s">
        <v>44</v>
      </c>
      <c r="H5" s="9"/>
      <c r="I5" s="9"/>
    </row>
    <row r="6" customFormat="false" ht="15" hidden="false" customHeight="false" outlineLevel="0" collapsed="false">
      <c r="A6" s="22" t="s">
        <v>315</v>
      </c>
      <c r="B6" s="23" t="s">
        <v>313</v>
      </c>
      <c r="C6" s="5" t="s">
        <v>316</v>
      </c>
      <c r="D6" s="24" t="s">
        <v>43</v>
      </c>
      <c r="E6" s="6" t="n">
        <v>1</v>
      </c>
      <c r="F6" s="6" t="n">
        <v>1</v>
      </c>
      <c r="G6" s="25" t="s">
        <v>44</v>
      </c>
      <c r="H6" s="5"/>
      <c r="I6" s="5"/>
    </row>
    <row r="7" customFormat="false" ht="15" hidden="false" customHeight="false" outlineLevel="0" collapsed="false">
      <c r="A7" s="15" t="s">
        <v>317</v>
      </c>
      <c r="B7" s="26" t="s">
        <v>318</v>
      </c>
      <c r="C7" s="9" t="s">
        <v>319</v>
      </c>
      <c r="D7" s="24" t="s">
        <v>43</v>
      </c>
      <c r="E7" s="10" t="n">
        <v>2</v>
      </c>
      <c r="F7" s="10" t="n">
        <v>0.5</v>
      </c>
      <c r="G7" s="27" t="s">
        <v>61</v>
      </c>
      <c r="H7" s="9"/>
      <c r="I7" s="9"/>
    </row>
    <row r="8" customFormat="false" ht="15" hidden="false" customHeight="false" outlineLevel="0" collapsed="false">
      <c r="A8" s="22" t="s">
        <v>320</v>
      </c>
      <c r="B8" s="23" t="s">
        <v>318</v>
      </c>
      <c r="C8" s="5" t="s">
        <v>321</v>
      </c>
      <c r="D8" s="24" t="s">
        <v>43</v>
      </c>
      <c r="E8" s="6" t="n">
        <v>2</v>
      </c>
      <c r="F8" s="6" t="n">
        <v>1</v>
      </c>
      <c r="G8" s="25" t="s">
        <v>61</v>
      </c>
      <c r="H8" s="5"/>
      <c r="I8" s="5"/>
    </row>
    <row r="9" customFormat="false" ht="15" hidden="false" customHeight="false" outlineLevel="0" collapsed="false">
      <c r="A9" s="15" t="s">
        <v>322</v>
      </c>
      <c r="B9" s="26" t="s">
        <v>318</v>
      </c>
      <c r="C9" s="9" t="s">
        <v>323</v>
      </c>
      <c r="D9" s="24" t="s">
        <v>43</v>
      </c>
      <c r="E9" s="10" t="n">
        <v>2</v>
      </c>
      <c r="F9" s="10" t="n">
        <v>1</v>
      </c>
      <c r="G9" s="27" t="s">
        <v>61</v>
      </c>
      <c r="H9" s="9"/>
      <c r="I9" s="9"/>
    </row>
    <row r="10" customFormat="false" ht="15" hidden="false" customHeight="false" outlineLevel="0" collapsed="false">
      <c r="A10" s="22" t="s">
        <v>324</v>
      </c>
      <c r="B10" s="23" t="s">
        <v>325</v>
      </c>
      <c r="C10" s="5" t="s">
        <v>326</v>
      </c>
      <c r="D10" s="24" t="s">
        <v>43</v>
      </c>
      <c r="E10" s="6" t="n">
        <v>2</v>
      </c>
      <c r="F10" s="6" t="n">
        <v>1</v>
      </c>
      <c r="G10" s="25" t="s">
        <v>61</v>
      </c>
      <c r="H10" s="5"/>
      <c r="I10" s="5"/>
    </row>
    <row r="11" customFormat="false" ht="15" hidden="false" customHeight="false" outlineLevel="0" collapsed="false">
      <c r="A11" s="15" t="s">
        <v>327</v>
      </c>
      <c r="B11" s="26" t="s">
        <v>325</v>
      </c>
      <c r="C11" s="9" t="s">
        <v>328</v>
      </c>
      <c r="D11" s="24" t="s">
        <v>43</v>
      </c>
      <c r="E11" s="10" t="n">
        <v>2</v>
      </c>
      <c r="F11" s="10" t="n">
        <v>1</v>
      </c>
      <c r="G11" s="27" t="s">
        <v>61</v>
      </c>
      <c r="H11" s="9"/>
      <c r="I11" s="9"/>
    </row>
    <row r="12" customFormat="false" ht="15" hidden="false" customHeight="false" outlineLevel="0" collapsed="false">
      <c r="A12" s="22" t="s">
        <v>329</v>
      </c>
      <c r="B12" s="23" t="s">
        <v>330</v>
      </c>
      <c r="C12" s="5" t="s">
        <v>331</v>
      </c>
      <c r="D12" s="24" t="s">
        <v>43</v>
      </c>
      <c r="E12" s="6" t="n">
        <v>2</v>
      </c>
      <c r="F12" s="6" t="n">
        <v>1</v>
      </c>
      <c r="G12" s="25" t="s">
        <v>61</v>
      </c>
      <c r="H12" s="5"/>
      <c r="I12" s="5"/>
    </row>
    <row r="13" customFormat="false" ht="15" hidden="false" customHeight="false" outlineLevel="0" collapsed="false">
      <c r="A13" s="15" t="s">
        <v>332</v>
      </c>
      <c r="B13" s="26" t="s">
        <v>333</v>
      </c>
      <c r="C13" s="9" t="s">
        <v>334</v>
      </c>
      <c r="D13" s="24" t="s">
        <v>43</v>
      </c>
      <c r="E13" s="10" t="n">
        <v>2</v>
      </c>
      <c r="F13" s="10" t="n">
        <v>1</v>
      </c>
      <c r="G13" s="27" t="s">
        <v>61</v>
      </c>
      <c r="H13" s="9"/>
      <c r="I13" s="9"/>
    </row>
    <row r="14" customFormat="false" ht="15" hidden="false" customHeight="false" outlineLevel="0" collapsed="false">
      <c r="A14" s="22" t="s">
        <v>335</v>
      </c>
      <c r="B14" s="23" t="s">
        <v>333</v>
      </c>
      <c r="C14" s="5" t="s">
        <v>336</v>
      </c>
      <c r="D14" s="24" t="s">
        <v>43</v>
      </c>
      <c r="E14" s="6" t="n">
        <v>2</v>
      </c>
      <c r="F14" s="6" t="n">
        <v>1</v>
      </c>
      <c r="G14" s="25" t="s">
        <v>61</v>
      </c>
      <c r="H14" s="5"/>
      <c r="I14" s="5"/>
    </row>
    <row r="15" customFormat="false" ht="15" hidden="false" customHeight="false" outlineLevel="0" collapsed="false">
      <c r="A15" s="15" t="s">
        <v>337</v>
      </c>
      <c r="B15" s="26" t="s">
        <v>338</v>
      </c>
      <c r="C15" s="9" t="s">
        <v>339</v>
      </c>
      <c r="D15" s="24" t="s">
        <v>43</v>
      </c>
      <c r="E15" s="10" t="n">
        <v>2</v>
      </c>
      <c r="F15" s="10" t="n">
        <v>1</v>
      </c>
      <c r="G15" s="27" t="s">
        <v>61</v>
      </c>
      <c r="H15" s="9"/>
      <c r="I15" s="9"/>
    </row>
    <row r="16" customFormat="false" ht="15" hidden="false" customHeight="false" outlineLevel="0" collapsed="false">
      <c r="A16" s="22" t="s">
        <v>340</v>
      </c>
      <c r="B16" s="23" t="s">
        <v>341</v>
      </c>
      <c r="C16" s="5" t="s">
        <v>342</v>
      </c>
      <c r="D16" s="28" t="s">
        <v>93</v>
      </c>
      <c r="E16" s="6" t="n">
        <v>3</v>
      </c>
      <c r="F16" s="6" t="n">
        <v>1.5</v>
      </c>
      <c r="G16" s="25" t="s">
        <v>61</v>
      </c>
      <c r="H16" s="5"/>
      <c r="I16" s="5"/>
    </row>
    <row r="17" customFormat="false" ht="15" hidden="false" customHeight="false" outlineLevel="0" collapsed="false">
      <c r="A17" s="15" t="s">
        <v>343</v>
      </c>
      <c r="B17" s="26" t="s">
        <v>341</v>
      </c>
      <c r="C17" s="9" t="s">
        <v>344</v>
      </c>
      <c r="D17" s="28" t="s">
        <v>93</v>
      </c>
      <c r="E17" s="10" t="n">
        <v>3</v>
      </c>
      <c r="F17" s="10" t="n">
        <v>1</v>
      </c>
      <c r="G17" s="27" t="s">
        <v>61</v>
      </c>
      <c r="H17" s="9"/>
      <c r="I17" s="9"/>
    </row>
    <row r="18" customFormat="false" ht="15" hidden="false" customHeight="false" outlineLevel="0" collapsed="false">
      <c r="A18" s="22" t="s">
        <v>345</v>
      </c>
      <c r="B18" s="23" t="s">
        <v>346</v>
      </c>
      <c r="C18" s="5" t="s">
        <v>347</v>
      </c>
      <c r="D18" s="28" t="s">
        <v>93</v>
      </c>
      <c r="E18" s="6" t="n">
        <v>3</v>
      </c>
      <c r="F18" s="6" t="n">
        <v>1</v>
      </c>
      <c r="G18" s="25" t="s">
        <v>61</v>
      </c>
      <c r="H18" s="5"/>
      <c r="I18" s="5"/>
    </row>
    <row r="19" customFormat="false" ht="15" hidden="false" customHeight="false" outlineLevel="0" collapsed="false">
      <c r="A19" s="15" t="s">
        <v>348</v>
      </c>
      <c r="B19" s="26" t="s">
        <v>104</v>
      </c>
      <c r="C19" s="9" t="s">
        <v>105</v>
      </c>
      <c r="D19" s="24" t="s">
        <v>43</v>
      </c>
      <c r="E19" s="10" t="n">
        <v>3</v>
      </c>
      <c r="F19" s="10" t="n">
        <v>1</v>
      </c>
      <c r="G19" s="27" t="s">
        <v>61</v>
      </c>
      <c r="H19" s="9"/>
      <c r="I19" s="9"/>
    </row>
    <row r="20" customFormat="false" ht="15" hidden="false" customHeight="false" outlineLevel="0" collapsed="false">
      <c r="A20" s="22" t="s">
        <v>349</v>
      </c>
      <c r="B20" s="23" t="s">
        <v>104</v>
      </c>
      <c r="C20" s="5" t="s">
        <v>107</v>
      </c>
      <c r="D20" s="24" t="s">
        <v>43</v>
      </c>
      <c r="E20" s="6" t="n">
        <v>3</v>
      </c>
      <c r="F20" s="6" t="n">
        <v>2</v>
      </c>
      <c r="G20" s="25" t="s">
        <v>61</v>
      </c>
      <c r="H20" s="5"/>
      <c r="I20" s="5"/>
    </row>
    <row r="22" customFormat="false" ht="15" hidden="false" customHeight="false" outlineLevel="0" collapsed="false">
      <c r="C22" s="30" t="s">
        <v>108</v>
      </c>
      <c r="F22" s="31" t="n">
        <f aca="false">SUM(F2:F20)</f>
        <v>20</v>
      </c>
    </row>
    <row r="23" customFormat="false" ht="15" hidden="false" customHeight="false" outlineLevel="0" collapsed="false">
      <c r="C23" s="30" t="s">
        <v>109</v>
      </c>
      <c r="F23" s="31" t="n">
        <f aca="false">SUMIF(G2:G20,"Feito",F2:F20)</f>
        <v>0</v>
      </c>
    </row>
  </sheetData>
  <autoFilter ref="A1:I20"/>
  <dataValidations count="1">
    <dataValidation allowBlank="true" errorStyle="stop" operator="between" showDropDown="false" showErrorMessage="false" showInputMessage="false" sqref="G2:G20" type="list">
      <formula1>"Backlog,A Fazer,Fazendo,Em Review,Feito"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2026-06-18T19:20:57Z</dcterms:created>
  <dc:creator>openpyxl</dc:creator>
  <dc:description/>
  <dc:language>en-US</dc:language>
  <cp:lastModifiedBy/>
  <dcterms:modified xsi:type="dcterms:W3CDTF">2026-06-18T19:20:57Z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