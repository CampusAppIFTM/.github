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visaIF" sheetId="2" state="visible" r:id="rId4"/>
    <sheet name="IFinancas" sheetId="3" state="visible" r:id="rId5"/>
    <sheet name="iHelp" sheetId="4" state="visible" r:id="rId6"/>
    <sheet name="IFala" sheetId="5" state="visible" r:id="rId7"/>
    <sheet name="StudyDev" sheetId="6" state="visible" r:id="rId8"/>
    <sheet name="MonitoraIF" sheetId="7" state="visible" r:id="rId9"/>
  </sheets>
  <definedNames>
    <definedName function="false" hidden="true" localSheetId="1" name="_xlnm._FilterDatabase" vbProcedure="false">AvisaIF!$A$1:$I$36</definedName>
    <definedName function="false" hidden="true" localSheetId="4" name="_xlnm._FilterDatabase" vbProcedure="false">IFala!$A$1:$I$34</definedName>
    <definedName function="false" hidden="true" localSheetId="2" name="_xlnm._FilterDatabase" vbProcedure="false">IFinancas!$A$1:$I$37</definedName>
    <definedName function="false" hidden="true" localSheetId="3" name="_xlnm._FilterDatabase" vbProcedure="false">iHelp!$A$1:$I$30</definedName>
    <definedName function="false" hidden="true" localSheetId="6" name="_xlnm._FilterDatabase" vbProcedure="false">MonitoraIF!$A$1:$I$31</definedName>
    <definedName function="false" hidden="true" localSheetId="5" name="_xlnm._FilterDatabase" vbProcedure="false">StudyDev!$A$1:$I$37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<sst xmlns="http://schemas.openxmlformats.org/spreadsheetml/2006/main" count="1093" uniqueCount="426">
  <si>
    <t xml:space="preserve">Campus App 2025 — Painel de Acompanhamento (Turma 3DS-A)</t>
  </si>
  <si>
    <t xml:space="preserve">Desenvolvimento de Dispositivos Móveis · IFTM Campus Uberlândia · Prof. Edson Angoti Júnior</t>
  </si>
  <si>
    <t xml:space="preserve">Sprint 1 padronizado (login com Google) idêntico para todas as equipes.</t>
  </si>
  <si>
    <t xml:space="preserve">Equipe / Projeto</t>
  </si>
  <si>
    <t xml:space="preserve">Integrantes</t>
  </si>
  <si>
    <t xml:space="preserve">Total de cards</t>
  </si>
  <si>
    <t xml:space="preserve">Feito</t>
  </si>
  <si>
    <t xml:space="preserve">Fazendo</t>
  </si>
  <si>
    <t xml:space="preserve">Em Review</t>
  </si>
  <si>
    <t xml:space="preserve">A Fazer / Backlog</t>
  </si>
  <si>
    <t xml:space="preserve">% Concluído</t>
  </si>
  <si>
    <t xml:space="preserve">Aulas estimadas</t>
  </si>
  <si>
    <t xml:space="preserve">Aulas concluídas</t>
  </si>
  <si>
    <t xml:space="preserve">Avisa IF</t>
  </si>
  <si>
    <t xml:space="preserve">Rebeca, Adan, Alejandro, Enzo Eduardo, Enzo Leonardo</t>
  </si>
  <si>
    <t xml:space="preserve">IFinanças</t>
  </si>
  <si>
    <t xml:space="preserve">Davi Gonzaga, Gabelo, Gabriel Almeida, Vinicius Mendes</t>
  </si>
  <si>
    <t xml:space="preserve">iHelp</t>
  </si>
  <si>
    <t xml:space="preserve">Caio Gabriel, Vitória Sophia, Camille, Iago Borges, Daniel</t>
  </si>
  <si>
    <t xml:space="preserve">IFala</t>
  </si>
  <si>
    <t xml:space="preserve">Clara Lindemann, Davi Rodovalho, Enzo Ribeiro, Lucas Mercado</t>
  </si>
  <si>
    <t xml:space="preserve">StudyDev</t>
  </si>
  <si>
    <t xml:space="preserve">Iago Oliveira, Nicolas Bruno, Felipe Peixoto, Felipe Marques, Heitor Moreira</t>
  </si>
  <si>
    <t xml:space="preserve">MonitoraIF</t>
  </si>
  <si>
    <t xml:space="preserve">Heitor Leal, Gabriel Zumba, Otávio Rodrigues, João Lucas Sivieri</t>
  </si>
  <si>
    <t xml:space="preserve">TOTAL DA TURMA</t>
  </si>
  <si>
    <t xml:space="preserve">Como usar:</t>
  </si>
  <si>
    <t xml:space="preserve">1. Cada equipe tem uma aba com todos os cards (mesmos IDs dos arquivos Kanban).</t>
  </si>
  <si>
    <t xml:space="preserve">2. Atualize só as colunas Status e Responsável nas abas — o Dashboard recalcula sozinho.</t>
  </si>
  <si>
    <t xml:space="preserve">3. Status: Backlog · A Fazer · Fazendo · Em Review · Feito (lista suspensa).</t>
  </si>
  <si>
    <t xml:space="preserve">4. Sprint: 1 = Sem. 5–6 (login, igual p/ todos) · 2 = Sem. 7–8 · 3 = Sem. 9–10.</t>
  </si>
  <si>
    <t xml:space="preserve">5. Estimativas em aulas (1 aula ≈ 50 min). Aulas concluídas somam só cards Feito.</t>
  </si>
  <si>
    <t xml:space="preserve">ID</t>
  </si>
  <si>
    <t xml:space="preserve">Issue</t>
  </si>
  <si>
    <t xml:space="preserve">Card (atividade)</t>
  </si>
  <si>
    <t xml:space="preserve">Prioridade</t>
  </si>
  <si>
    <t xml:space="preserve">Sprint</t>
  </si>
  <si>
    <t xml:space="preserve">Est. (aulas)</t>
  </si>
  <si>
    <t xml:space="preserve">Status</t>
  </si>
  <si>
    <t xml:space="preserve">Responsável</t>
  </si>
  <si>
    <t xml:space="preserve">Observações</t>
  </si>
  <si>
    <t xml:space="preserve">AVI-01.1</t>
  </si>
  <si>
    <t xml:space="preserve">AVI-01</t>
  </si>
  <si>
    <t xml:space="preserve">Criar projeto no console do Firebase</t>
  </si>
  <si>
    <t xml:space="preserve">M</t>
  </si>
  <si>
    <t xml:space="preserve">A Fazer</t>
  </si>
  <si>
    <t xml:space="preserve">AVI-01.2</t>
  </si>
  <si>
    <t xml:space="preserve">Ativar provedor de login Google (Authentication)</t>
  </si>
  <si>
    <t xml:space="preserve">AVI-01.3</t>
  </si>
  <si>
    <t xml:space="preserve">Registrar app Android + baixar google-services.json</t>
  </si>
  <si>
    <t xml:space="preserve">AVI-01.4</t>
  </si>
  <si>
    <t xml:space="preserve">Gerar SHA-1 (gradlew signingReport) e cadastrar no Firebase</t>
  </si>
  <si>
    <t xml:space="preserve">AVI-02.1</t>
  </si>
  <si>
    <t xml:space="preserve">AVI-02</t>
  </si>
  <si>
    <t xml:space="preserve">Criar projeto Expo e abrir no VS Code</t>
  </si>
  <si>
    <t xml:space="preserve">AVI-02.2</t>
  </si>
  <si>
    <t xml:space="preserve">Instalar @react-native-google-signin/google-signin</t>
  </si>
  <si>
    <t xml:space="preserve">AVI-02.3</t>
  </si>
  <si>
    <t xml:space="preserve">Configurar app.json (googleServicesFile + plugin)</t>
  </si>
  <si>
    <t xml:space="preserve">AVI-02.4</t>
  </si>
  <si>
    <t xml:space="preserve">Rodar expo prebuild + expo run:android</t>
  </si>
  <si>
    <t xml:space="preserve">AVI-03.1</t>
  </si>
  <si>
    <t xml:space="preserve">AVI-03</t>
  </si>
  <si>
    <t xml:space="preserve">Configurar GoogleSignin com webClientId</t>
  </si>
  <si>
    <t xml:space="preserve">AVI-03.2</t>
  </si>
  <si>
    <t xml:space="preserve">Botão Entrar chamando GoogleSignin.signIn()</t>
  </si>
  <si>
    <t xml:space="preserve">AVI-03.3</t>
  </si>
  <si>
    <t xml:space="preserve">ActivityIndicator durante o login</t>
  </si>
  <si>
    <t xml:space="preserve">AVI-03.4</t>
  </si>
  <si>
    <t xml:space="preserve">Botão Sair com GoogleSignin.signOut()</t>
  </si>
  <si>
    <t xml:space="preserve">AVI-04.1</t>
  </si>
  <si>
    <t xml:space="preserve">AVI-04</t>
  </si>
  <si>
    <t xml:space="preserve">Renderização condicional (user ? Home : Login)</t>
  </si>
  <si>
    <t xml:space="preserve">AVI-04.2</t>
  </si>
  <si>
    <t xml:space="preserve">Home exibe nome e foto do usuário</t>
  </si>
  <si>
    <t xml:space="preserve">AVI-04.3</t>
  </si>
  <si>
    <t xml:space="preserve">Estado global do usuário (Context)</t>
  </si>
  <si>
    <t xml:space="preserve">AVI-04.4</t>
  </si>
  <si>
    <t xml:space="preserve">Persistir sessão (mantém login ao reabrir)</t>
  </si>
  <si>
    <t xml:space="preserve">AVI-05.1</t>
  </si>
  <si>
    <t xml:space="preserve">AVI-05</t>
  </si>
  <si>
    <t xml:space="preserve">Modelar coleção grupos (nome, cor, codigo, membros)</t>
  </si>
  <si>
    <t xml:space="preserve">Backlog</t>
  </si>
  <si>
    <t xml:space="preserve">AVI-05.2</t>
  </si>
  <si>
    <t xml:space="preserve">UI de criar grupo (nome + cor + geração de código)</t>
  </si>
  <si>
    <t xml:space="preserve">AVI-05.3</t>
  </si>
  <si>
    <t xml:space="preserve">UI de entrar via código</t>
  </si>
  <si>
    <t xml:space="preserve">AVI-05.4</t>
  </si>
  <si>
    <t xml:space="preserve">Componente CardGrupo colorido</t>
  </si>
  <si>
    <t xml:space="preserve">AVI-06.1</t>
  </si>
  <si>
    <t xml:space="preserve">AVI-06</t>
  </si>
  <si>
    <t xml:space="preserve">FlatList dos grupos do usuário</t>
  </si>
  <si>
    <t xml:space="preserve">AVI-06.2</t>
  </si>
  <si>
    <t xml:space="preserve">Botão "+" com opções criar/entrar</t>
  </si>
  <si>
    <t xml:space="preserve">AVI-07.1</t>
  </si>
  <si>
    <t xml:space="preserve">AVI-07</t>
  </si>
  <si>
    <t xml:space="preserve">UI do formulário de aviso (título, descrição, data, tipo)</t>
  </si>
  <si>
    <t xml:space="preserve">AVI-07.2</t>
  </si>
  <si>
    <t xml:space="preserve">Gravar aviso na subcoleção do grupo</t>
  </si>
  <si>
    <t xml:space="preserve">AVI-08.1</t>
  </si>
  <si>
    <t xml:space="preserve">AVI-08</t>
  </si>
  <si>
    <t xml:space="preserve">Query dos avisos de todos os grupos do usuário</t>
  </si>
  <si>
    <t xml:space="preserve">AVI-08.2</t>
  </si>
  <si>
    <t xml:space="preserve">Tela de agenda agrupada por dia, com cor do grupo</t>
  </si>
  <si>
    <t xml:space="preserve">AVI-08.3</t>
  </si>
  <si>
    <t xml:space="preserve">Separar avisos futuros e passados</t>
  </si>
  <si>
    <t xml:space="preserve">AVI-09.1</t>
  </si>
  <si>
    <t xml:space="preserve">AVI-09</t>
  </si>
  <si>
    <t xml:space="preserve">Marcar aviso como concluído (pessoal por usuário)</t>
  </si>
  <si>
    <t xml:space="preserve">AVI-09.2</t>
  </si>
  <si>
    <t xml:space="preserve">Estilo atenuado para avisos concluídos</t>
  </si>
  <si>
    <t xml:space="preserve">AVI-10.1</t>
  </si>
  <si>
    <t xml:space="preserve">AVI-10</t>
  </si>
  <si>
    <t xml:space="preserve">Chips dos grupos do usuário na agenda</t>
  </si>
  <si>
    <t xml:space="preserve">S</t>
  </si>
  <si>
    <t xml:space="preserve">AVI-11.1</t>
  </si>
  <si>
    <t xml:space="preserve">AVI-11</t>
  </si>
  <si>
    <t xml:space="preserve">Configurar expo-notifications + permissão</t>
  </si>
  <si>
    <t xml:space="preserve">AVI-11.2</t>
  </si>
  <si>
    <t xml:space="preserve">Agendar notificação 1 dia antes do aviso</t>
  </si>
  <si>
    <t xml:space="preserve">AVI-12.1</t>
  </si>
  <si>
    <t xml:space="preserve">AVI-12</t>
  </si>
  <si>
    <t xml:space="preserve">Transições suaves entre telas</t>
  </si>
  <si>
    <t xml:space="preserve">C</t>
  </si>
  <si>
    <t xml:space="preserve">AVI-QA.1</t>
  </si>
  <si>
    <t xml:space="preserve">QA</t>
  </si>
  <si>
    <t xml:space="preserve">Teste cruzado + registro de bugs</t>
  </si>
  <si>
    <t xml:space="preserve">AVI-QA.2</t>
  </si>
  <si>
    <t xml:space="preserve">Corrigir bugs priorizados</t>
  </si>
  <si>
    <t xml:space="preserve">Total de aulas estimadas:</t>
  </si>
  <si>
    <t xml:space="preserve">Aulas concluídas (Feito):</t>
  </si>
  <si>
    <t xml:space="preserve">IFI-01.1</t>
  </si>
  <si>
    <t xml:space="preserve">IFI-01</t>
  </si>
  <si>
    <t xml:space="preserve">IFI-01.2</t>
  </si>
  <si>
    <t xml:space="preserve">IFI-01.3</t>
  </si>
  <si>
    <t xml:space="preserve">IFI-01.4</t>
  </si>
  <si>
    <t xml:space="preserve">IFI-02.1</t>
  </si>
  <si>
    <t xml:space="preserve">IFI-02</t>
  </si>
  <si>
    <t xml:space="preserve">IFI-02.2</t>
  </si>
  <si>
    <t xml:space="preserve">IFI-02.3</t>
  </si>
  <si>
    <t xml:space="preserve">IFI-02.4</t>
  </si>
  <si>
    <t xml:space="preserve">IFI-03.1</t>
  </si>
  <si>
    <t xml:space="preserve">IFI-03</t>
  </si>
  <si>
    <t xml:space="preserve">IFI-03.2</t>
  </si>
  <si>
    <t xml:space="preserve">IFI-03.3</t>
  </si>
  <si>
    <t xml:space="preserve">IFI-03.4</t>
  </si>
  <si>
    <t xml:space="preserve">IFI-04.1</t>
  </si>
  <si>
    <t xml:space="preserve">IFI-04</t>
  </si>
  <si>
    <t xml:space="preserve">IFI-04.2</t>
  </si>
  <si>
    <t xml:space="preserve">IFI-04.3</t>
  </si>
  <si>
    <t xml:space="preserve">IFI-04.4</t>
  </si>
  <si>
    <t xml:space="preserve">IFI-05.1</t>
  </si>
  <si>
    <t xml:space="preserve">IFI-05</t>
  </si>
  <si>
    <t xml:space="preserve">Modelar coleção transacoes/{uid}</t>
  </si>
  <si>
    <t xml:space="preserve">IFI-05.2</t>
  </si>
  <si>
    <t xml:space="preserve">UI do formulário de gasto (valor, descrição, data)</t>
  </si>
  <si>
    <t xml:space="preserve">IFI-05.3</t>
  </si>
  <si>
    <t xml:space="preserve">Gravar gasto no Firestore</t>
  </si>
  <si>
    <t xml:space="preserve">IFI-06.1</t>
  </si>
  <si>
    <t xml:space="preserve">IFI-06</t>
  </si>
  <si>
    <t xml:space="preserve">Adicionar contexto (escola/fora) + categoria ao formulário</t>
  </si>
  <si>
    <t xml:space="preserve">IFI-06.2</t>
  </si>
  <si>
    <t xml:space="preserve">Dashboard separa totais por contexto</t>
  </si>
  <si>
    <t xml:space="preserve">IFI-07.1</t>
  </si>
  <si>
    <t xml:space="preserve">IFI-07</t>
  </si>
  <si>
    <t xml:space="preserve">FlatList ordenada por data</t>
  </si>
  <si>
    <t xml:space="preserve">IFI-07.2</t>
  </si>
  <si>
    <t xml:space="preserve">Remover transação com confirmação</t>
  </si>
  <si>
    <t xml:space="preserve">IFI-08.1</t>
  </si>
  <si>
    <t xml:space="preserve">IFI-08</t>
  </si>
  <si>
    <t xml:space="preserve">Calcular totais do mês (gasto, por contexto)</t>
  </si>
  <si>
    <t xml:space="preserve">IFI-08.2</t>
  </si>
  <si>
    <t xml:space="preserve">Cartões informativos no painel inicial</t>
  </si>
  <si>
    <t xml:space="preserve">IFI-08.3</t>
  </si>
  <si>
    <t xml:space="preserve">Atualização automática ao mudar transações</t>
  </si>
  <si>
    <t xml:space="preserve">IFI-09.1</t>
  </si>
  <si>
    <t xml:space="preserve">IFI-09</t>
  </si>
  <si>
    <t xml:space="preserve">Avaliar e decidir lib de gráfico para RN</t>
  </si>
  <si>
    <t xml:space="preserve">IFI-09.2</t>
  </si>
  <si>
    <t xml:space="preserve">Gráfico de gastos por categoria com legenda</t>
  </si>
  <si>
    <t xml:space="preserve">IFI-10.1</t>
  </si>
  <si>
    <t xml:space="preserve">IFI-10</t>
  </si>
  <si>
    <t xml:space="preserve">Definir limite mensal no perfil</t>
  </si>
  <si>
    <t xml:space="preserve">IFI-10.2</t>
  </si>
  <si>
    <t xml:space="preserve">Aviso visual no dashboard ao ultrapassar</t>
  </si>
  <si>
    <t xml:space="preserve">IFI-11.1</t>
  </si>
  <si>
    <t xml:space="preserve">IFI-11</t>
  </si>
  <si>
    <t xml:space="preserve">Cadastro de meta (valor + prazo)</t>
  </si>
  <si>
    <t xml:space="preserve">IFI-11.2</t>
  </si>
  <si>
    <t xml:space="preserve">Barra de progresso da meta no dashboard</t>
  </si>
  <si>
    <t xml:space="preserve">IFI-12.1</t>
  </si>
  <si>
    <t xml:space="preserve">IFI-12</t>
  </si>
  <si>
    <t xml:space="preserve">Seletor de mês/ano</t>
  </si>
  <si>
    <t xml:space="preserve">IFI-12.2</t>
  </si>
  <si>
    <t xml:space="preserve">Resumo do mês selecionado</t>
  </si>
  <si>
    <t xml:space="preserve">IFI-QA.1</t>
  </si>
  <si>
    <t xml:space="preserve">IFI-QA.2</t>
  </si>
  <si>
    <t xml:space="preserve">IHP-01.1</t>
  </si>
  <si>
    <t xml:space="preserve">IHP-01</t>
  </si>
  <si>
    <t xml:space="preserve">IHP-01.2</t>
  </si>
  <si>
    <t xml:space="preserve">IHP-01.3</t>
  </si>
  <si>
    <t xml:space="preserve">IHP-01.4</t>
  </si>
  <si>
    <t xml:space="preserve">IHP-02.1</t>
  </si>
  <si>
    <t xml:space="preserve">IHP-02</t>
  </si>
  <si>
    <t xml:space="preserve">IHP-02.2</t>
  </si>
  <si>
    <t xml:space="preserve">IHP-02.3</t>
  </si>
  <si>
    <t xml:space="preserve">IHP-02.4</t>
  </si>
  <si>
    <t xml:space="preserve">IHP-03.1</t>
  </si>
  <si>
    <t xml:space="preserve">IHP-03</t>
  </si>
  <si>
    <t xml:space="preserve">IHP-03.2</t>
  </si>
  <si>
    <t xml:space="preserve">IHP-03.3</t>
  </si>
  <si>
    <t xml:space="preserve">IHP-03.4</t>
  </si>
  <si>
    <t xml:space="preserve">IHP-04.1</t>
  </si>
  <si>
    <t xml:space="preserve">IHP-04</t>
  </si>
  <si>
    <t xml:space="preserve">IHP-04.2</t>
  </si>
  <si>
    <t xml:space="preserve">IHP-04.3</t>
  </si>
  <si>
    <t xml:space="preserve">IHP-04.4</t>
  </si>
  <si>
    <t xml:space="preserve">IHP-05.1</t>
  </si>
  <si>
    <t xml:space="preserve">IHP-05</t>
  </si>
  <si>
    <t xml:space="preserve">Componente CardPrestador</t>
  </si>
  <si>
    <t xml:space="preserve">IHP-05.2</t>
  </si>
  <si>
    <t xml:space="preserve">FlatList carregando do Firestore</t>
  </si>
  <si>
    <t xml:space="preserve">IHP-06.1</t>
  </si>
  <si>
    <t xml:space="preserve">IHP-06</t>
  </si>
  <si>
    <t xml:space="preserve">UI da tela de detalhe</t>
  </si>
  <si>
    <t xml:space="preserve">IHP-06.2</t>
  </si>
  <si>
    <t xml:space="preserve">Botão de contato via deep link (WhatsApp/telefone)</t>
  </si>
  <si>
    <t xml:space="preserve">IHP-07.1</t>
  </si>
  <si>
    <t xml:space="preserve">IHP-07</t>
  </si>
  <si>
    <t xml:space="preserve">Definir e documentar lista de categorias</t>
  </si>
  <si>
    <t xml:space="preserve">IHP-07.2</t>
  </si>
  <si>
    <t xml:space="preserve">Tela inicial com categorias principais</t>
  </si>
  <si>
    <t xml:space="preserve">IHP-08.1</t>
  </si>
  <si>
    <t xml:space="preserve">IHP-08</t>
  </si>
  <si>
    <t xml:space="preserve">Tela de edição do perfil do prestador</t>
  </si>
  <si>
    <t xml:space="preserve">IHP-09.1</t>
  </si>
  <si>
    <t xml:space="preserve">IHP-09</t>
  </si>
  <si>
    <t xml:space="preserve">Cliente dá nota de 1–5 a um prestador</t>
  </si>
  <si>
    <t xml:space="preserve">IHP-09.2</t>
  </si>
  <si>
    <t xml:space="preserve">Média exibida no card e no detalhe</t>
  </si>
  <si>
    <t xml:space="preserve">IHP-10.1</t>
  </si>
  <si>
    <t xml:space="preserve">IHP-10</t>
  </si>
  <si>
    <t xml:space="preserve">Campo de busca por nome/serviço</t>
  </si>
  <si>
    <t xml:space="preserve">IHP-11.1</t>
  </si>
  <si>
    <t xml:space="preserve">IHP-11</t>
  </si>
  <si>
    <t xml:space="preserve">Chips de categoria na listagem</t>
  </si>
  <si>
    <t xml:space="preserve">IHP-QA.1</t>
  </si>
  <si>
    <t xml:space="preserve">IHP-QA.2</t>
  </si>
  <si>
    <t xml:space="preserve">IFA-01.1</t>
  </si>
  <si>
    <t xml:space="preserve">IFA-01</t>
  </si>
  <si>
    <t xml:space="preserve">IFA-01.2</t>
  </si>
  <si>
    <t xml:space="preserve">IFA-01.3</t>
  </si>
  <si>
    <t xml:space="preserve">IFA-01.4</t>
  </si>
  <si>
    <t xml:space="preserve">IFA-02.1</t>
  </si>
  <si>
    <t xml:space="preserve">IFA-02</t>
  </si>
  <si>
    <t xml:space="preserve">IFA-02.2</t>
  </si>
  <si>
    <t xml:space="preserve">IFA-02.3</t>
  </si>
  <si>
    <t xml:space="preserve">IFA-02.4</t>
  </si>
  <si>
    <t xml:space="preserve">IFA-03.1</t>
  </si>
  <si>
    <t xml:space="preserve">IFA-03</t>
  </si>
  <si>
    <t xml:space="preserve">IFA-03.2</t>
  </si>
  <si>
    <t xml:space="preserve">IFA-03.3</t>
  </si>
  <si>
    <t xml:space="preserve">IFA-03.4</t>
  </si>
  <si>
    <t xml:space="preserve">IFA-04.1</t>
  </si>
  <si>
    <t xml:space="preserve">IFA-04</t>
  </si>
  <si>
    <t xml:space="preserve">IFA-04.2</t>
  </si>
  <si>
    <t xml:space="preserve">IFA-04.3</t>
  </si>
  <si>
    <t xml:space="preserve">IFA-04.4</t>
  </si>
  <si>
    <t xml:space="preserve">IFA-05.1</t>
  </si>
  <si>
    <t xml:space="preserve">IFA-05</t>
  </si>
  <si>
    <t xml:space="preserve">Modelar coleção reclamacoes</t>
  </si>
  <si>
    <t xml:space="preserve">IFA-05.2</t>
  </si>
  <si>
    <t xml:space="preserve">UI do formulário (categoria + texto)</t>
  </si>
  <si>
    <t xml:space="preserve">IFA-05.3</t>
  </si>
  <si>
    <t xml:space="preserve">Gravar reclamação com status "aberta" + confirmação</t>
  </si>
  <si>
    <t xml:space="preserve">IFA-06.1</t>
  </si>
  <si>
    <t xml:space="preserve">IFA-06</t>
  </si>
  <si>
    <t xml:space="preserve">Regras do Firestore que ocultam autorUid da coordenação</t>
  </si>
  <si>
    <t xml:space="preserve">IFA-06.2</t>
  </si>
  <si>
    <t xml:space="preserve">Texto de transparência na tela de envio (revisado pelo professor)</t>
  </si>
  <si>
    <t xml:space="preserve">IFA-07.1</t>
  </si>
  <si>
    <t xml:space="preserve">IFA-07</t>
  </si>
  <si>
    <t xml:space="preserve">Lista das reclamações do próprio usuário com status</t>
  </si>
  <si>
    <t xml:space="preserve">IFA-07.2</t>
  </si>
  <si>
    <t xml:space="preserve">Detalhe com a resposta da coordenação</t>
  </si>
  <si>
    <t xml:space="preserve">IFA-08.1</t>
  </si>
  <si>
    <t xml:space="preserve">IFA-08</t>
  </si>
  <si>
    <t xml:space="preserve">FlatList sem identificação do autor</t>
  </si>
  <si>
    <t xml:space="preserve">IFA-08.2</t>
  </si>
  <si>
    <t xml:space="preserve">Abrir detalhe para análise</t>
  </si>
  <si>
    <t xml:space="preserve">IFA-09.1</t>
  </si>
  <si>
    <t xml:space="preserve">IFA-09</t>
  </si>
  <si>
    <t xml:space="preserve">Campo de resposta + mudança de status</t>
  </si>
  <si>
    <t xml:space="preserve">IFA-09.2</t>
  </si>
  <si>
    <t xml:space="preserve">Resposta reflete em "Minhas reclamações" via onSnapshot</t>
  </si>
  <si>
    <t xml:space="preserve">IFA-10.1</t>
  </si>
  <si>
    <t xml:space="preserve">IFA-10</t>
  </si>
  <si>
    <t xml:space="preserve">Chips de categoria no painel da coordenação</t>
  </si>
  <si>
    <t xml:space="preserve">IFA-11.1</t>
  </si>
  <si>
    <t xml:space="preserve">IFA-11</t>
  </si>
  <si>
    <t xml:space="preserve">Anexo opcional de imagem (galeria/câmera)</t>
  </si>
  <si>
    <t xml:space="preserve">IFA-11.2</t>
  </si>
  <si>
    <t xml:space="preserve">Imagem visível no detalhe sem expor o autor</t>
  </si>
  <si>
    <t xml:space="preserve">IFA-QA.1</t>
  </si>
  <si>
    <t xml:space="preserve">IFA-QA.2</t>
  </si>
  <si>
    <t xml:space="preserve">IFA-QA.3</t>
  </si>
  <si>
    <t xml:space="preserve">Revisar a proteção do autor com cenário real</t>
  </si>
  <si>
    <t xml:space="preserve">STD-01.1</t>
  </si>
  <si>
    <t xml:space="preserve">STD-01</t>
  </si>
  <si>
    <t xml:space="preserve">STD-01.2</t>
  </si>
  <si>
    <t xml:space="preserve">STD-01.3</t>
  </si>
  <si>
    <t xml:space="preserve">STD-01.4</t>
  </si>
  <si>
    <t xml:space="preserve">STD-02.1</t>
  </si>
  <si>
    <t xml:space="preserve">STD-02</t>
  </si>
  <si>
    <t xml:space="preserve">STD-02.2</t>
  </si>
  <si>
    <t xml:space="preserve">STD-02.3</t>
  </si>
  <si>
    <t xml:space="preserve">STD-02.4</t>
  </si>
  <si>
    <t xml:space="preserve">STD-03.1</t>
  </si>
  <si>
    <t xml:space="preserve">STD-03</t>
  </si>
  <si>
    <t xml:space="preserve">STD-03.2</t>
  </si>
  <si>
    <t xml:space="preserve">STD-03.3</t>
  </si>
  <si>
    <t xml:space="preserve">STD-03.4</t>
  </si>
  <si>
    <t xml:space="preserve">STD-04.1</t>
  </si>
  <si>
    <t xml:space="preserve">STD-04</t>
  </si>
  <si>
    <t xml:space="preserve">STD-04.2</t>
  </si>
  <si>
    <t xml:space="preserve">STD-04.3</t>
  </si>
  <si>
    <t xml:space="preserve">STD-04.4</t>
  </si>
  <si>
    <t xml:space="preserve">STD-05.1</t>
  </si>
  <si>
    <t xml:space="preserve">STD-05</t>
  </si>
  <si>
    <t xml:space="preserve">Documentar schema de progresso</t>
  </si>
  <si>
    <t xml:space="preserve">STD-05.2</t>
  </si>
  <si>
    <t xml:space="preserve">Criar progresso/{uid} + hook useProgresso()</t>
  </si>
  <si>
    <t xml:space="preserve">STD-06.1</t>
  </si>
  <si>
    <t xml:space="preserve">STD-06</t>
  </si>
  <si>
    <t xml:space="preserve">Schema da aula + 1 aula-modelo</t>
  </si>
  <si>
    <t xml:space="preserve">STD-06.2</t>
  </si>
  <si>
    <t xml:space="preserve">Escrever trilha 1 (3 mód × 3 aulas)</t>
  </si>
  <si>
    <t xml:space="preserve">STD-06.3</t>
  </si>
  <si>
    <t xml:space="preserve">Escrever trilha 2 (3 mód × 3 aulas)</t>
  </si>
  <si>
    <t xml:space="preserve">STD-06.4</t>
  </si>
  <si>
    <t xml:space="preserve">Carregar trilhas no Firestore</t>
  </si>
  <si>
    <t xml:space="preserve">STD-07.1</t>
  </si>
  <si>
    <t xml:space="preserve">STD-07</t>
  </si>
  <si>
    <t xml:space="preserve">Componente CardTrilha com progresso</t>
  </si>
  <si>
    <t xml:space="preserve">STD-07.2</t>
  </si>
  <si>
    <t xml:space="preserve">Grid/lista de trilhas carregando do Firestore</t>
  </si>
  <si>
    <t xml:space="preserve">STD-08.1</t>
  </si>
  <si>
    <t xml:space="preserve">STD-08</t>
  </si>
  <si>
    <t xml:space="preserve">Aulas agrupadas por módulo, em ordem</t>
  </si>
  <si>
    <t xml:space="preserve">STD-08.2</t>
  </si>
  <si>
    <t xml:space="preserve">Navegação aula → tela de conteúdo</t>
  </si>
  <si>
    <t xml:space="preserve">STD-09.1</t>
  </si>
  <si>
    <t xml:space="preserve">STD-09</t>
  </si>
  <si>
    <t xml:space="preserve">UI do conteúdo (texto + link de vídeo opcional)</t>
  </si>
  <si>
    <t xml:space="preserve">STD-09.2</t>
  </si>
  <si>
    <t xml:space="preserve">Botão "Marcar como concluída" atualiza progresso</t>
  </si>
  <si>
    <t xml:space="preserve">STD-10.1</t>
  </si>
  <si>
    <t xml:space="preserve">STD-10</t>
  </si>
  <si>
    <t xml:space="preserve">Contador de dias consecutivos de estudo</t>
  </si>
  <si>
    <t xml:space="preserve">STD-10.2</t>
  </si>
  <si>
    <t xml:space="preserve">Mensagem motivacional diária (mín. 5 textos)</t>
  </si>
  <si>
    <t xml:space="preserve">STD-11.1</t>
  </si>
  <si>
    <t xml:space="preserve">STD-11</t>
  </si>
  <si>
    <t xml:space="preserve">expo-notifications + permissão</t>
  </si>
  <si>
    <t xml:space="preserve">STD-11.2</t>
  </si>
  <si>
    <t xml:space="preserve">Lembrete diário em horário escolhido pelo usuário</t>
  </si>
  <si>
    <t xml:space="preserve">STD-12.1</t>
  </si>
  <si>
    <t xml:space="preserve">STD-12</t>
  </si>
  <si>
    <t xml:space="preserve">ThemeContext claro/escuro persistido</t>
  </si>
  <si>
    <t xml:space="preserve">STD-QA.1</t>
  </si>
  <si>
    <t xml:space="preserve">STD-QA.2</t>
  </si>
  <si>
    <t xml:space="preserve">STD-QA.3</t>
  </si>
  <si>
    <t xml:space="preserve">Revisão de conteúdo: percorrer todas as trilhas</t>
  </si>
  <si>
    <t xml:space="preserve">MIF-01.1</t>
  </si>
  <si>
    <t xml:space="preserve">MIF-01</t>
  </si>
  <si>
    <t xml:space="preserve">MIF-01.2</t>
  </si>
  <si>
    <t xml:space="preserve">MIF-01.3</t>
  </si>
  <si>
    <t xml:space="preserve">MIF-01.4</t>
  </si>
  <si>
    <t xml:space="preserve">MIF-02.1</t>
  </si>
  <si>
    <t xml:space="preserve">MIF-02</t>
  </si>
  <si>
    <t xml:space="preserve">MIF-02.2</t>
  </si>
  <si>
    <t xml:space="preserve">MIF-02.3</t>
  </si>
  <si>
    <t xml:space="preserve">MIF-02.4</t>
  </si>
  <si>
    <t xml:space="preserve">MIF-03.1</t>
  </si>
  <si>
    <t xml:space="preserve">MIF-03</t>
  </si>
  <si>
    <t xml:space="preserve">MIF-03.2</t>
  </si>
  <si>
    <t xml:space="preserve">MIF-03.3</t>
  </si>
  <si>
    <t xml:space="preserve">MIF-03.4</t>
  </si>
  <si>
    <t xml:space="preserve">MIF-04.1</t>
  </si>
  <si>
    <t xml:space="preserve">MIF-04</t>
  </si>
  <si>
    <t xml:space="preserve">MIF-04.2</t>
  </si>
  <si>
    <t xml:space="preserve">MIF-04.3</t>
  </si>
  <si>
    <t xml:space="preserve">MIF-04.4</t>
  </si>
  <si>
    <t xml:space="preserve">MIF-05.1</t>
  </si>
  <si>
    <t xml:space="preserve">MIF-05</t>
  </si>
  <si>
    <t xml:space="preserve">Modelar coleção duvidas</t>
  </si>
  <si>
    <t xml:space="preserve">MIF-05.2</t>
  </si>
  <si>
    <t xml:space="preserve">UI do formulário (matéria, título, descrição)</t>
  </si>
  <si>
    <t xml:space="preserve">MIF-05.3</t>
  </si>
  <si>
    <t xml:space="preserve">Gravar dúvida com status "aberta"</t>
  </si>
  <si>
    <t xml:space="preserve">MIF-06.1</t>
  </si>
  <si>
    <t xml:space="preserve">MIF-06</t>
  </si>
  <si>
    <t xml:space="preserve">Componente CardDuvida</t>
  </si>
  <si>
    <t xml:space="preserve">MIF-06.2</t>
  </si>
  <si>
    <t xml:space="preserve">FlatList com onSnapshot (tempo real)</t>
  </si>
  <si>
    <t xml:space="preserve">MIF-07.1</t>
  </si>
  <si>
    <t xml:space="preserve">MIF-07</t>
  </si>
  <si>
    <t xml:space="preserve">UI do detalhe (dúvida completa + respostas)</t>
  </si>
  <si>
    <t xml:space="preserve">MIF-08.1</t>
  </si>
  <si>
    <t xml:space="preserve">MIF-08</t>
  </si>
  <si>
    <t xml:space="preserve">Subcoleção de respostas + campo de resposta (só monitor)</t>
  </si>
  <si>
    <t xml:space="preserve">MIF-08.2</t>
  </si>
  <si>
    <t xml:space="preserve">Respostas em tempo real (onSnapshot) + status "respondida"</t>
  </si>
  <si>
    <t xml:space="preserve">MIF-09.1</t>
  </si>
  <si>
    <t xml:space="preserve">MIF-09</t>
  </si>
  <si>
    <t xml:space="preserve">Botão "Resolvida" só para o autor</t>
  </si>
  <si>
    <t xml:space="preserve">MIF-10.1</t>
  </si>
  <si>
    <t xml:space="preserve">MIF-10</t>
  </si>
  <si>
    <t xml:space="preserve">Monitor cadastra horários disponíveis</t>
  </si>
  <si>
    <t xml:space="preserve">MIF-10.2</t>
  </si>
  <si>
    <t xml:space="preserve">Aluno visualiza horários por monitor/disciplina</t>
  </si>
  <si>
    <t xml:space="preserve">MIF-11.1</t>
  </si>
  <si>
    <t xml:space="preserve">MIF-11</t>
  </si>
  <si>
    <t xml:space="preserve">Chips de matéria no mural</t>
  </si>
  <si>
    <t xml:space="preserve">MIF-QA.1</t>
  </si>
  <si>
    <t xml:space="preserve">MIF-QA.2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</si>
</sst>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761"/>
      <name val="Arial"/>
      <family val="0"/>
      <charset val="1"/>
    </font>
    <font>
      <sz val="10"/>
      <color rgb="FF64748B"/>
      <name val="Arial"/>
      <family val="0"/>
      <charset val="1"/>
    </font>
    <font>
      <i val="true"/>
      <sz val="9"/>
      <color rgb="FFF9731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C3AED"/>
      <name val="Arial"/>
      <family val="0"/>
      <charset val="1"/>
    </font>
    <font>
      <sz val="10"/>
      <color rgb="FF1E293B"/>
      <name val="Arial"/>
      <family val="0"/>
      <charset val="1"/>
    </font>
    <font>
      <b val="true"/>
      <sz val="10"/>
      <color rgb="FFF97316"/>
      <name val="Arial"/>
      <family val="0"/>
      <charset val="1"/>
    </font>
    <font>
      <b val="true"/>
      <sz val="10"/>
      <color rgb="FF0E7490"/>
      <name val="Arial"/>
      <family val="0"/>
      <charset val="1"/>
    </font>
    <font>
      <b val="true"/>
      <sz val="10"/>
      <color rgb="FF0891B2"/>
      <name val="Arial"/>
      <family val="0"/>
      <charset val="1"/>
    </font>
    <font>
      <b val="true"/>
      <sz val="10"/>
      <color rgb="FF059669"/>
      <name val="Arial"/>
      <family val="0"/>
      <charset val="1"/>
    </font>
    <font>
      <b val="true"/>
      <sz val="10"/>
      <color rgb="FF1E2761"/>
      <name val="Arial"/>
      <family val="0"/>
      <charset val="1"/>
    </font>
    <font>
      <sz val="9"/>
      <color rgb="FF475569"/>
      <name val="Arial"/>
      <family val="0"/>
      <charset val="1"/>
    </font>
    <font>
      <b val="true"/>
      <sz val="10"/>
      <color rgb="FFDC2626"/>
      <name val="Arial"/>
      <family val="0"/>
      <charset val="1"/>
    </font>
    <font>
      <b val="true"/>
      <sz val="10"/>
      <color rgb="FFCA8A04"/>
      <name val="Arial"/>
      <family val="0"/>
      <charset val="1"/>
    </font>
    <font>
      <b val="true"/>
      <sz val="10"/>
      <color rgb="FF64748B"/>
      <name val="Arial"/>
      <family val="0"/>
      <charset val="1"/>
    </font>
    <font>
      <b val="true"/>
      <sz val="10"/>
      <color rgb="FF1E293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E2761"/>
        <bgColor rgb="FF1E293B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7C3AED"/>
        <bgColor rgb="FF993366"/>
      </patternFill>
    </fill>
    <fill>
      <patternFill patternType="solid">
        <fgColor rgb="FFFEE2E2"/>
        <bgColor rgb="FFE2E8F0"/>
      </patternFill>
    </fill>
    <fill>
      <patternFill patternType="solid">
        <fgColor rgb="FFFEF9C3"/>
        <bgColor rgb="FFFFFF99"/>
      </patternFill>
    </fill>
    <fill>
      <patternFill patternType="solid">
        <fgColor rgb="FFE2E8F0"/>
        <bgColor rgb="FFF1F5F9"/>
      </patternFill>
    </fill>
    <fill>
      <patternFill patternType="solid">
        <fgColor rgb="FFF97316"/>
        <bgColor rgb="FFCA8A04"/>
      </patternFill>
    </fill>
    <fill>
      <patternFill patternType="solid">
        <fgColor rgb="FF0E7490"/>
        <bgColor rgb="FF0891B2"/>
      </patternFill>
    </fill>
    <fill>
      <patternFill patternType="solid">
        <fgColor rgb="FF0891B2"/>
        <bgColor rgb="FF059669"/>
      </patternFill>
    </fill>
    <fill>
      <patternFill patternType="solid">
        <fgColor rgb="FF059669"/>
        <bgColor rgb="FF0891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7C3AED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2761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CA8A04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0E7490"/>
          <bgColor rgb="FF000000"/>
        </patternFill>
      </fill>
    </dxf>
    <dxf>
      <fill>
        <patternFill patternType="solid">
          <fgColor rgb="FF0891B2"/>
          <bgColor rgb="FF000000"/>
        </patternFill>
      </fill>
    </dxf>
    <dxf>
      <fill>
        <patternFill patternType="solid">
          <fgColor rgb="FF059669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CCCCC"/>
      <rgbColor rgb="FF808080"/>
      <rgbColor rgb="FF9999FF"/>
      <rgbColor rgb="FF7C3AED"/>
      <rgbColor rgb="FFFEF9C3"/>
      <rgbColor rgb="FFF1F5F9"/>
      <rgbColor rgb="FF660066"/>
      <rgbColor rgb="FFFF8080"/>
      <rgbColor rgb="FF0891B2"/>
      <rgbColor rgb="FFCCCCFF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F97316"/>
      <rgbColor rgb="FF64748B"/>
      <rgbColor rgb="FF969696"/>
      <rgbColor rgb="FF1E2761"/>
      <rgbColor rgb="FF339966"/>
      <rgbColor rgb="FF003300"/>
      <rgbColor rgb="FF333300"/>
      <rgbColor rgb="FF993300"/>
      <rgbColor rgb="FF993366"/>
      <rgbColor rgb="FF47556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27.75" hidden="false" customHeight="true" outlineLevel="0" collapsed="false"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  <c r="H6" s="4" t="s">
        <v>9</v>
      </c>
      <c r="I6" s="4" t="s">
        <v>10</v>
      </c>
      <c r="J6" s="4" t="s">
        <v>11</v>
      </c>
      <c r="K6" s="4" t="s">
        <v>12</v>
      </c>
    </row>
    <row r="7" customFormat="false" ht="23.85" hidden="false" customHeight="false" outlineLevel="0" collapsed="false">
      <c r="B7" s="5" t="s">
        <v>13</v>
      </c>
      <c r="C7" s="6" t="s">
        <v>14</v>
      </c>
      <c r="D7" s="7" t="n">
        <f aca="false">COUNTA(AvisaIF!A2:A36)</f>
        <v>35</v>
      </c>
      <c r="E7" s="7" t="n">
        <f aca="false">COUNTIF(AvisaIF!G2:G36,"Feito")</f>
        <v>0</v>
      </c>
      <c r="F7" s="7" t="n">
        <f aca="false">COUNTIF(AvisaIF!G2:G36,"Fazendo")</f>
        <v>0</v>
      </c>
      <c r="G7" s="7" t="n">
        <f aca="false">COUNTIF(AvisaIF!G2:G36,"Em Review")</f>
        <v>0</v>
      </c>
      <c r="H7" s="7" t="n">
        <f aca="false">COUNTIF(AvisaIF!G2:G36,"A Fazer")+COUNTIF(AvisaIF!G2:G36,"Backlog")</f>
        <v>35</v>
      </c>
      <c r="I7" s="8" t="n">
        <f aca="false">IF(D7=0,0,E7/D7)</f>
        <v>0</v>
      </c>
      <c r="J7" s="7" t="n">
        <f aca="false">SUM(AvisaIF!F2:F36)</f>
        <v>32</v>
      </c>
      <c r="K7" s="7" t="n">
        <f aca="false">SUMIF(AvisaIF!G2:G36,"Feito",AvisaIF!F2:F36)</f>
        <v>0</v>
      </c>
    </row>
    <row r="8" customFormat="false" ht="23.85" hidden="false" customHeight="false" outlineLevel="0" collapsed="false">
      <c r="B8" s="9" t="s">
        <v>15</v>
      </c>
      <c r="C8" s="10" t="s">
        <v>16</v>
      </c>
      <c r="D8" s="11" t="n">
        <f aca="false">COUNTA(IFinancas!A2:A37)</f>
        <v>36</v>
      </c>
      <c r="E8" s="11" t="n">
        <f aca="false">COUNTIF(IFinancas!G2:G37,"Feito")</f>
        <v>0</v>
      </c>
      <c r="F8" s="11" t="n">
        <f aca="false">COUNTIF(IFinancas!G2:G37,"Fazendo")</f>
        <v>0</v>
      </c>
      <c r="G8" s="11" t="n">
        <f aca="false">COUNTIF(IFinancas!G2:G37,"Em Review")</f>
        <v>0</v>
      </c>
      <c r="H8" s="11" t="n">
        <f aca="false">COUNTIF(IFinancas!G2:G37,"A Fazer")+COUNTIF(IFinancas!G2:G37,"Backlog")</f>
        <v>36</v>
      </c>
      <c r="I8" s="12" t="n">
        <f aca="false">IF(D8=0,0,E8/D8)</f>
        <v>0</v>
      </c>
      <c r="J8" s="11" t="n">
        <f aca="false">SUM(IFinancas!F2:F37)</f>
        <v>33.5</v>
      </c>
      <c r="K8" s="11" t="n">
        <f aca="false">SUMIF(IFinancas!G2:G37,"Feito",IFinancas!F2:F37)</f>
        <v>0</v>
      </c>
    </row>
    <row r="9" customFormat="false" ht="23.85" hidden="false" customHeight="false" outlineLevel="0" collapsed="false">
      <c r="B9" s="13" t="s">
        <v>17</v>
      </c>
      <c r="C9" s="6" t="s">
        <v>18</v>
      </c>
      <c r="D9" s="7" t="n">
        <f aca="false">COUNTA(iHelp!A2:A30)</f>
        <v>29</v>
      </c>
      <c r="E9" s="7" t="n">
        <f aca="false">COUNTIF(iHelp!G2:G30,"Feito")</f>
        <v>0</v>
      </c>
      <c r="F9" s="7" t="n">
        <f aca="false">COUNTIF(iHelp!G2:G30,"Fazendo")</f>
        <v>0</v>
      </c>
      <c r="G9" s="7" t="n">
        <f aca="false">COUNTIF(iHelp!G2:G30,"Em Review")</f>
        <v>0</v>
      </c>
      <c r="H9" s="7" t="n">
        <f aca="false">COUNTIF(iHelp!G2:G30,"A Fazer")+COUNTIF(iHelp!G2:G30,"Backlog")</f>
        <v>29</v>
      </c>
      <c r="I9" s="8" t="n">
        <f aca="false">IF(D9=0,0,E9/D9)</f>
        <v>0</v>
      </c>
      <c r="J9" s="7" t="n">
        <f aca="false">SUM(iHelp!F2:F30)</f>
        <v>27.5</v>
      </c>
      <c r="K9" s="7" t="n">
        <f aca="false">SUMIF(iHelp!G2:G30,"Feito",iHelp!F2:F30)</f>
        <v>0</v>
      </c>
    </row>
    <row r="10" customFormat="false" ht="23.85" hidden="false" customHeight="false" outlineLevel="0" collapsed="false">
      <c r="B10" s="14" t="s">
        <v>19</v>
      </c>
      <c r="C10" s="10" t="s">
        <v>20</v>
      </c>
      <c r="D10" s="11" t="n">
        <f aca="false">COUNTA(IFala!A2:A34)</f>
        <v>33</v>
      </c>
      <c r="E10" s="11" t="n">
        <f aca="false">COUNTIF(IFala!G2:G34,"Feito")</f>
        <v>0</v>
      </c>
      <c r="F10" s="11" t="n">
        <f aca="false">COUNTIF(IFala!G2:G34,"Fazendo")</f>
        <v>0</v>
      </c>
      <c r="G10" s="11" t="n">
        <f aca="false">COUNTIF(IFala!G2:G34,"Em Review")</f>
        <v>0</v>
      </c>
      <c r="H10" s="11" t="n">
        <f aca="false">COUNTIF(IFala!G2:G34,"A Fazer")+COUNTIF(IFala!G2:G34,"Backlog")</f>
        <v>33</v>
      </c>
      <c r="I10" s="12" t="n">
        <f aca="false">IF(D10=0,0,E10/D10)</f>
        <v>0</v>
      </c>
      <c r="J10" s="11" t="n">
        <f aca="false">SUM(IFala!F2:F34)</f>
        <v>31</v>
      </c>
      <c r="K10" s="11" t="n">
        <f aca="false">SUMIF(IFala!G2:G34,"Feito",IFala!F2:F34)</f>
        <v>0</v>
      </c>
    </row>
    <row r="11" customFormat="false" ht="23.85" hidden="false" customHeight="false" outlineLevel="0" collapsed="false">
      <c r="B11" s="15" t="s">
        <v>21</v>
      </c>
      <c r="C11" s="6" t="s">
        <v>22</v>
      </c>
      <c r="D11" s="7" t="n">
        <f aca="false">COUNTA(StudyDev!A2:A37)</f>
        <v>36</v>
      </c>
      <c r="E11" s="7" t="n">
        <f aca="false">COUNTIF(StudyDev!G2:G37,"Feito")</f>
        <v>0</v>
      </c>
      <c r="F11" s="7" t="n">
        <f aca="false">COUNTIF(StudyDev!G2:G37,"Fazendo")</f>
        <v>0</v>
      </c>
      <c r="G11" s="7" t="n">
        <f aca="false">COUNTIF(StudyDev!G2:G37,"Em Review")</f>
        <v>0</v>
      </c>
      <c r="H11" s="7" t="n">
        <f aca="false">COUNTIF(StudyDev!G2:G37,"A Fazer")+COUNTIF(StudyDev!G2:G37,"Backlog")</f>
        <v>36</v>
      </c>
      <c r="I11" s="8" t="n">
        <f aca="false">IF(D11=0,0,E11/D11)</f>
        <v>0</v>
      </c>
      <c r="J11" s="7" t="n">
        <f aca="false">SUM(StudyDev!F2:F37)</f>
        <v>36</v>
      </c>
      <c r="K11" s="7" t="n">
        <f aca="false">SUMIF(StudyDev!G2:G37,"Feito",StudyDev!F2:F37)</f>
        <v>0</v>
      </c>
    </row>
    <row r="12" customFormat="false" ht="23.85" hidden="false" customHeight="false" outlineLevel="0" collapsed="false">
      <c r="B12" s="16" t="s">
        <v>23</v>
      </c>
      <c r="C12" s="10" t="s">
        <v>24</v>
      </c>
      <c r="D12" s="11" t="n">
        <f aca="false">COUNTA(MonitoraIF!A2:A31)</f>
        <v>30</v>
      </c>
      <c r="E12" s="11" t="n">
        <f aca="false">COUNTIF(MonitoraIF!G2:G31,"Feito")</f>
        <v>0</v>
      </c>
      <c r="F12" s="11" t="n">
        <f aca="false">COUNTIF(MonitoraIF!G2:G31,"Fazendo")</f>
        <v>0</v>
      </c>
      <c r="G12" s="11" t="n">
        <f aca="false">COUNTIF(MonitoraIF!G2:G31,"Em Review")</f>
        <v>0</v>
      </c>
      <c r="H12" s="11" t="n">
        <f aca="false">COUNTIF(MonitoraIF!G2:G31,"A Fazer")+COUNTIF(MonitoraIF!G2:G31,"Backlog")</f>
        <v>30</v>
      </c>
      <c r="I12" s="12" t="n">
        <f aca="false">IF(D12=0,0,E12/D12)</f>
        <v>0</v>
      </c>
      <c r="J12" s="11" t="n">
        <f aca="false">SUM(MonitoraIF!F2:F31)</f>
        <v>28</v>
      </c>
      <c r="K12" s="11" t="n">
        <f aca="false">SUMIF(MonitoraIF!G2:G31,"Feito",MonitoraIF!F2:F31)</f>
        <v>0</v>
      </c>
    </row>
    <row r="13" customFormat="false" ht="15" hidden="false" customHeight="false" outlineLevel="0" collapsed="false">
      <c r="B13" s="17" t="s">
        <v>25</v>
      </c>
      <c r="C13" s="18"/>
      <c r="D13" s="4" t="n">
        <f aca="false">SUM(D7:D12)</f>
        <v>199</v>
      </c>
      <c r="E13" s="4" t="n">
        <f aca="false">SUM(E7:E12)</f>
        <v>0</v>
      </c>
      <c r="F13" s="4" t="n">
        <f aca="false">SUM(F7:F12)</f>
        <v>0</v>
      </c>
      <c r="G13" s="4" t="n">
        <f aca="false">SUM(G7:G12)</f>
        <v>0</v>
      </c>
      <c r="H13" s="4" t="n">
        <f aca="false">SUM(H7:H12)</f>
        <v>199</v>
      </c>
      <c r="I13" s="19" t="n">
        <f aca="false">IF(D13=0,0,E13/D13)</f>
        <v>0</v>
      </c>
      <c r="J13" s="4" t="n">
        <f aca="false">SUM(J7:J12)</f>
        <v>188</v>
      </c>
      <c r="K13" s="4" t="n">
        <f aca="false">SUM(K7:K12)</f>
        <v>0</v>
      </c>
    </row>
    <row r="15" customFormat="false" ht="15" hidden="false" customHeight="false" outlineLevel="0" collapsed="false">
      <c r="B15" s="20" t="s">
        <v>26</v>
      </c>
    </row>
    <row r="16" customFormat="false" ht="15" hidden="false" customHeight="false" outlineLevel="0" collapsed="false">
      <c r="B16" s="21" t="s">
        <v>27</v>
      </c>
    </row>
    <row r="17" customFormat="false" ht="15" hidden="false" customHeight="false" outlineLevel="0" collapsed="false">
      <c r="B17" s="21" t="s">
        <v>28</v>
      </c>
    </row>
    <row r="18" customFormat="false" ht="15" hidden="false" customHeight="false" outlineLevel="0" collapsed="false">
      <c r="B18" s="21" t="s">
        <v>29</v>
      </c>
    </row>
    <row r="19" customFormat="false" ht="15" hidden="false" customHeight="false" outlineLevel="0" collapsed="false">
      <c r="B19" s="21" t="s">
        <v>30</v>
      </c>
    </row>
    <row r="20" customFormat="false" ht="15" hidden="false" customHeight="false" outlineLevel="0" collapsed="false">
      <c r="B20" s="21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22" t="s">
        <v>32</v>
      </c>
      <c r="B1" s="22" t="s">
        <v>33</v>
      </c>
      <c r="C1" s="22" t="s">
        <v>34</v>
      </c>
      <c r="D1" s="22" t="s">
        <v>35</v>
      </c>
      <c r="E1" s="22" t="s">
        <v>36</v>
      </c>
      <c r="F1" s="22" t="s">
        <v>37</v>
      </c>
      <c r="G1" s="22" t="s">
        <v>38</v>
      </c>
      <c r="H1" s="22" t="s">
        <v>39</v>
      </c>
      <c r="I1" s="22" t="s">
        <v>40</v>
      </c>
    </row>
    <row r="2" customFormat="false" ht="15" hidden="false" customHeight="false" outlineLevel="0" collapsed="false">
      <c r="A2" s="23" t="s">
        <v>41</v>
      </c>
      <c r="B2" s="24" t="s">
        <v>42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46</v>
      </c>
      <c r="B3" s="27" t="s">
        <v>42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48</v>
      </c>
      <c r="B4" s="24" t="s">
        <v>42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50</v>
      </c>
      <c r="B5" s="27" t="s">
        <v>42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52</v>
      </c>
      <c r="B6" s="24" t="s">
        <v>53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55</v>
      </c>
      <c r="B7" s="27" t="s">
        <v>53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57</v>
      </c>
      <c r="B8" s="24" t="s">
        <v>53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59</v>
      </c>
      <c r="B9" s="27" t="s">
        <v>53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61</v>
      </c>
      <c r="B10" s="24" t="s">
        <v>62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64</v>
      </c>
      <c r="B11" s="27" t="s">
        <v>62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66</v>
      </c>
      <c r="B12" s="24" t="s">
        <v>62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68</v>
      </c>
      <c r="B13" s="27" t="s">
        <v>62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70</v>
      </c>
      <c r="B14" s="24" t="s">
        <v>71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73</v>
      </c>
      <c r="B15" s="27" t="s">
        <v>71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75</v>
      </c>
      <c r="B16" s="24" t="s">
        <v>71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77</v>
      </c>
      <c r="B17" s="27" t="s">
        <v>71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79</v>
      </c>
      <c r="B18" s="24" t="s">
        <v>80</v>
      </c>
      <c r="C18" s="6" t="s">
        <v>81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83</v>
      </c>
      <c r="B19" s="27" t="s">
        <v>80</v>
      </c>
      <c r="C19" s="10" t="s">
        <v>84</v>
      </c>
      <c r="D19" s="25" t="s">
        <v>44</v>
      </c>
      <c r="E19" s="11" t="n">
        <v>2</v>
      </c>
      <c r="F19" s="11" t="n">
        <v>1.5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85</v>
      </c>
      <c r="B20" s="24" t="s">
        <v>80</v>
      </c>
      <c r="C20" s="6" t="s">
        <v>86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87</v>
      </c>
      <c r="B21" s="27" t="s">
        <v>80</v>
      </c>
      <c r="C21" s="10" t="s">
        <v>88</v>
      </c>
      <c r="D21" s="25" t="s">
        <v>44</v>
      </c>
      <c r="E21" s="11" t="n">
        <v>2</v>
      </c>
      <c r="F21" s="11" t="n">
        <v>1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89</v>
      </c>
      <c r="B22" s="24" t="s">
        <v>90</v>
      </c>
      <c r="C22" s="6" t="s">
        <v>91</v>
      </c>
      <c r="D22" s="25" t="s">
        <v>44</v>
      </c>
      <c r="E22" s="7" t="n">
        <v>2</v>
      </c>
      <c r="F22" s="7" t="n">
        <v>1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92</v>
      </c>
      <c r="B23" s="27" t="s">
        <v>90</v>
      </c>
      <c r="C23" s="10" t="s">
        <v>93</v>
      </c>
      <c r="D23" s="25" t="s">
        <v>44</v>
      </c>
      <c r="E23" s="11" t="n">
        <v>2</v>
      </c>
      <c r="F23" s="11" t="n">
        <v>0.5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94</v>
      </c>
      <c r="B24" s="24" t="s">
        <v>95</v>
      </c>
      <c r="C24" s="6" t="s">
        <v>96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15" hidden="false" customHeight="false" outlineLevel="0" collapsed="false">
      <c r="A25" s="16" t="s">
        <v>97</v>
      </c>
      <c r="B25" s="27" t="s">
        <v>95</v>
      </c>
      <c r="C25" s="10" t="s">
        <v>98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99</v>
      </c>
      <c r="B26" s="24" t="s">
        <v>100</v>
      </c>
      <c r="C26" s="6" t="s">
        <v>101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102</v>
      </c>
      <c r="B27" s="27" t="s">
        <v>100</v>
      </c>
      <c r="C27" s="10" t="s">
        <v>103</v>
      </c>
      <c r="D27" s="25" t="s">
        <v>44</v>
      </c>
      <c r="E27" s="11" t="n">
        <v>2</v>
      </c>
      <c r="F27" s="11" t="n">
        <v>1.5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104</v>
      </c>
      <c r="B28" s="24" t="s">
        <v>100</v>
      </c>
      <c r="C28" s="6" t="s">
        <v>105</v>
      </c>
      <c r="D28" s="25" t="s">
        <v>44</v>
      </c>
      <c r="E28" s="7" t="n">
        <v>2</v>
      </c>
      <c r="F28" s="7" t="n">
        <v>0.5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106</v>
      </c>
      <c r="B29" s="27" t="s">
        <v>107</v>
      </c>
      <c r="C29" s="10" t="s">
        <v>108</v>
      </c>
      <c r="D29" s="25" t="s">
        <v>44</v>
      </c>
      <c r="E29" s="11" t="n">
        <v>2</v>
      </c>
      <c r="F29" s="11" t="n">
        <v>1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109</v>
      </c>
      <c r="B30" s="24" t="s">
        <v>107</v>
      </c>
      <c r="C30" s="6" t="s">
        <v>110</v>
      </c>
      <c r="D30" s="25" t="s">
        <v>44</v>
      </c>
      <c r="E30" s="7" t="n">
        <v>2</v>
      </c>
      <c r="F30" s="7" t="n">
        <v>0.5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111</v>
      </c>
      <c r="B31" s="27" t="s">
        <v>112</v>
      </c>
      <c r="C31" s="10" t="s">
        <v>113</v>
      </c>
      <c r="D31" s="29" t="s">
        <v>114</v>
      </c>
      <c r="E31" s="11" t="n">
        <v>3</v>
      </c>
      <c r="F31" s="11" t="n">
        <v>1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115</v>
      </c>
      <c r="B32" s="24" t="s">
        <v>116</v>
      </c>
      <c r="C32" s="6" t="s">
        <v>117</v>
      </c>
      <c r="D32" s="29" t="s">
        <v>114</v>
      </c>
      <c r="E32" s="7" t="n">
        <v>3</v>
      </c>
      <c r="F32" s="7" t="n">
        <v>0.5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118</v>
      </c>
      <c r="B33" s="27" t="s">
        <v>116</v>
      </c>
      <c r="C33" s="10" t="s">
        <v>119</v>
      </c>
      <c r="D33" s="29" t="s">
        <v>114</v>
      </c>
      <c r="E33" s="11" t="n">
        <v>3</v>
      </c>
      <c r="F33" s="11" t="n">
        <v>1.5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120</v>
      </c>
      <c r="B34" s="24" t="s">
        <v>121</v>
      </c>
      <c r="C34" s="6" t="s">
        <v>122</v>
      </c>
      <c r="D34" s="30" t="s">
        <v>123</v>
      </c>
      <c r="E34" s="7" t="n">
        <v>3</v>
      </c>
      <c r="F34" s="7" t="n">
        <v>1</v>
      </c>
      <c r="G34" s="26" t="s">
        <v>82</v>
      </c>
      <c r="H34" s="6"/>
      <c r="I34" s="6"/>
    </row>
    <row r="35" customFormat="false" ht="15" hidden="false" customHeight="false" outlineLevel="0" collapsed="false">
      <c r="A35" s="16" t="s">
        <v>124</v>
      </c>
      <c r="B35" s="27" t="s">
        <v>125</v>
      </c>
      <c r="C35" s="10" t="s">
        <v>126</v>
      </c>
      <c r="D35" s="25" t="s">
        <v>44</v>
      </c>
      <c r="E35" s="11" t="n">
        <v>3</v>
      </c>
      <c r="F35" s="11" t="n">
        <v>1</v>
      </c>
      <c r="G35" s="28" t="s">
        <v>82</v>
      </c>
      <c r="H35" s="10"/>
      <c r="I35" s="10"/>
    </row>
    <row r="36" customFormat="false" ht="15" hidden="false" customHeight="false" outlineLevel="0" collapsed="false">
      <c r="A36" s="23" t="s">
        <v>127</v>
      </c>
      <c r="B36" s="24" t="s">
        <v>125</v>
      </c>
      <c r="C36" s="6" t="s">
        <v>128</v>
      </c>
      <c r="D36" s="25" t="s">
        <v>44</v>
      </c>
      <c r="E36" s="7" t="n">
        <v>3</v>
      </c>
      <c r="F36" s="7" t="n">
        <v>2</v>
      </c>
      <c r="G36" s="26" t="s">
        <v>82</v>
      </c>
      <c r="H36" s="6"/>
      <c r="I36" s="6"/>
    </row>
    <row r="38" customFormat="false" ht="15" hidden="false" customHeight="false" outlineLevel="0" collapsed="false">
      <c r="C38" s="31" t="s">
        <v>129</v>
      </c>
      <c r="F38" s="32" t="n">
        <f aca="false">SUM(F2:F36)</f>
        <v>32</v>
      </c>
    </row>
    <row r="39" customFormat="false" ht="15" hidden="false" customHeight="false" outlineLevel="0" collapsed="false">
      <c r="C39" s="31" t="s">
        <v>130</v>
      </c>
      <c r="F39" s="32" t="n">
        <f aca="false">SUMIF(G2:G36,"Feito",F2:F36)</f>
        <v>0</v>
      </c>
    </row>
  </sheetData>
  <autoFilter ref="A1:I36"/>
  <dataValidations count="1">
    <dataValidation allowBlank="true" errorStyle="stop" operator="between" showDropDown="false" showErrorMessage="false" showInputMessage="false" sqref="G2:G36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3" t="s">
        <v>32</v>
      </c>
      <c r="B1" s="33" t="s">
        <v>33</v>
      </c>
      <c r="C1" s="33" t="s">
        <v>34</v>
      </c>
      <c r="D1" s="33" t="s">
        <v>35</v>
      </c>
      <c r="E1" s="33" t="s">
        <v>36</v>
      </c>
      <c r="F1" s="33" t="s">
        <v>37</v>
      </c>
      <c r="G1" s="33" t="s">
        <v>38</v>
      </c>
      <c r="H1" s="33" t="s">
        <v>39</v>
      </c>
      <c r="I1" s="33" t="s">
        <v>40</v>
      </c>
    </row>
    <row r="2" customFormat="false" ht="15" hidden="false" customHeight="false" outlineLevel="0" collapsed="false">
      <c r="A2" s="23" t="s">
        <v>131</v>
      </c>
      <c r="B2" s="24" t="s">
        <v>132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133</v>
      </c>
      <c r="B3" s="27" t="s">
        <v>132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134</v>
      </c>
      <c r="B4" s="24" t="s">
        <v>132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135</v>
      </c>
      <c r="B5" s="27" t="s">
        <v>132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136</v>
      </c>
      <c r="B6" s="24" t="s">
        <v>137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138</v>
      </c>
      <c r="B7" s="27" t="s">
        <v>137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139</v>
      </c>
      <c r="B8" s="24" t="s">
        <v>137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140</v>
      </c>
      <c r="B9" s="27" t="s">
        <v>137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141</v>
      </c>
      <c r="B10" s="24" t="s">
        <v>142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143</v>
      </c>
      <c r="B11" s="27" t="s">
        <v>142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144</v>
      </c>
      <c r="B12" s="24" t="s">
        <v>142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145</v>
      </c>
      <c r="B13" s="27" t="s">
        <v>142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146</v>
      </c>
      <c r="B14" s="24" t="s">
        <v>147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148</v>
      </c>
      <c r="B15" s="27" t="s">
        <v>147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149</v>
      </c>
      <c r="B16" s="24" t="s">
        <v>147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150</v>
      </c>
      <c r="B17" s="27" t="s">
        <v>147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151</v>
      </c>
      <c r="B18" s="24" t="s">
        <v>152</v>
      </c>
      <c r="C18" s="6" t="s">
        <v>153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154</v>
      </c>
      <c r="B19" s="27" t="s">
        <v>152</v>
      </c>
      <c r="C19" s="10" t="s">
        <v>155</v>
      </c>
      <c r="D19" s="25" t="s">
        <v>44</v>
      </c>
      <c r="E19" s="11" t="n">
        <v>2</v>
      </c>
      <c r="F19" s="11" t="n">
        <v>1.5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156</v>
      </c>
      <c r="B20" s="24" t="s">
        <v>152</v>
      </c>
      <c r="C20" s="6" t="s">
        <v>157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158</v>
      </c>
      <c r="B21" s="27" t="s">
        <v>159</v>
      </c>
      <c r="C21" s="10" t="s">
        <v>160</v>
      </c>
      <c r="D21" s="25" t="s">
        <v>44</v>
      </c>
      <c r="E21" s="11" t="n">
        <v>2</v>
      </c>
      <c r="F21" s="11" t="n">
        <v>1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161</v>
      </c>
      <c r="B22" s="24" t="s">
        <v>159</v>
      </c>
      <c r="C22" s="6" t="s">
        <v>162</v>
      </c>
      <c r="D22" s="25" t="s">
        <v>44</v>
      </c>
      <c r="E22" s="7" t="n">
        <v>2</v>
      </c>
      <c r="F22" s="7" t="n">
        <v>1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163</v>
      </c>
      <c r="B23" s="27" t="s">
        <v>164</v>
      </c>
      <c r="C23" s="10" t="s">
        <v>165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166</v>
      </c>
      <c r="B24" s="24" t="s">
        <v>164</v>
      </c>
      <c r="C24" s="6" t="s">
        <v>167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15" hidden="false" customHeight="false" outlineLevel="0" collapsed="false">
      <c r="A25" s="16" t="s">
        <v>168</v>
      </c>
      <c r="B25" s="27" t="s">
        <v>169</v>
      </c>
      <c r="C25" s="10" t="s">
        <v>170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171</v>
      </c>
      <c r="B26" s="24" t="s">
        <v>169</v>
      </c>
      <c r="C26" s="6" t="s">
        <v>172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173</v>
      </c>
      <c r="B27" s="27" t="s">
        <v>169</v>
      </c>
      <c r="C27" s="10" t="s">
        <v>174</v>
      </c>
      <c r="D27" s="25" t="s">
        <v>44</v>
      </c>
      <c r="E27" s="11" t="n">
        <v>2</v>
      </c>
      <c r="F27" s="11" t="n">
        <v>0.5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175</v>
      </c>
      <c r="B28" s="24" t="s">
        <v>176</v>
      </c>
      <c r="C28" s="6" t="s">
        <v>177</v>
      </c>
      <c r="D28" s="25" t="s">
        <v>44</v>
      </c>
      <c r="E28" s="7" t="n">
        <v>2</v>
      </c>
      <c r="F28" s="7" t="n">
        <v>1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178</v>
      </c>
      <c r="B29" s="27" t="s">
        <v>176</v>
      </c>
      <c r="C29" s="10" t="s">
        <v>179</v>
      </c>
      <c r="D29" s="25" t="s">
        <v>44</v>
      </c>
      <c r="E29" s="11" t="n">
        <v>2</v>
      </c>
      <c r="F29" s="11" t="n">
        <v>1.5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180</v>
      </c>
      <c r="B30" s="24" t="s">
        <v>181</v>
      </c>
      <c r="C30" s="6" t="s">
        <v>182</v>
      </c>
      <c r="D30" s="29" t="s">
        <v>114</v>
      </c>
      <c r="E30" s="7" t="n">
        <v>3</v>
      </c>
      <c r="F30" s="7" t="n">
        <v>1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183</v>
      </c>
      <c r="B31" s="27" t="s">
        <v>181</v>
      </c>
      <c r="C31" s="10" t="s">
        <v>184</v>
      </c>
      <c r="D31" s="29" t="s">
        <v>114</v>
      </c>
      <c r="E31" s="11" t="n">
        <v>3</v>
      </c>
      <c r="F31" s="11" t="n">
        <v>0.5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185</v>
      </c>
      <c r="B32" s="24" t="s">
        <v>186</v>
      </c>
      <c r="C32" s="6" t="s">
        <v>187</v>
      </c>
      <c r="D32" s="29" t="s">
        <v>114</v>
      </c>
      <c r="E32" s="7" t="n">
        <v>3</v>
      </c>
      <c r="F32" s="7" t="n">
        <v>1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188</v>
      </c>
      <c r="B33" s="27" t="s">
        <v>186</v>
      </c>
      <c r="C33" s="10" t="s">
        <v>189</v>
      </c>
      <c r="D33" s="29" t="s">
        <v>114</v>
      </c>
      <c r="E33" s="11" t="n">
        <v>3</v>
      </c>
      <c r="F33" s="11" t="n">
        <v>1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190</v>
      </c>
      <c r="B34" s="24" t="s">
        <v>191</v>
      </c>
      <c r="C34" s="6" t="s">
        <v>192</v>
      </c>
      <c r="D34" s="29" t="s">
        <v>114</v>
      </c>
      <c r="E34" s="7" t="n">
        <v>3</v>
      </c>
      <c r="F34" s="7" t="n">
        <v>1</v>
      </c>
      <c r="G34" s="26" t="s">
        <v>82</v>
      </c>
      <c r="H34" s="6"/>
      <c r="I34" s="6"/>
    </row>
    <row r="35" customFormat="false" ht="15" hidden="false" customHeight="false" outlineLevel="0" collapsed="false">
      <c r="A35" s="16" t="s">
        <v>193</v>
      </c>
      <c r="B35" s="27" t="s">
        <v>191</v>
      </c>
      <c r="C35" s="10" t="s">
        <v>194</v>
      </c>
      <c r="D35" s="29" t="s">
        <v>114</v>
      </c>
      <c r="E35" s="11" t="n">
        <v>3</v>
      </c>
      <c r="F35" s="11" t="n">
        <v>1</v>
      </c>
      <c r="G35" s="28" t="s">
        <v>82</v>
      </c>
      <c r="H35" s="10"/>
      <c r="I35" s="10"/>
    </row>
    <row r="36" customFormat="false" ht="15" hidden="false" customHeight="false" outlineLevel="0" collapsed="false">
      <c r="A36" s="23" t="s">
        <v>195</v>
      </c>
      <c r="B36" s="24" t="s">
        <v>125</v>
      </c>
      <c r="C36" s="6" t="s">
        <v>126</v>
      </c>
      <c r="D36" s="25" t="s">
        <v>44</v>
      </c>
      <c r="E36" s="7" t="n">
        <v>3</v>
      </c>
      <c r="F36" s="7" t="n">
        <v>1</v>
      </c>
      <c r="G36" s="26" t="s">
        <v>82</v>
      </c>
      <c r="H36" s="6"/>
      <c r="I36" s="6"/>
    </row>
    <row r="37" customFormat="false" ht="15" hidden="false" customHeight="false" outlineLevel="0" collapsed="false">
      <c r="A37" s="16" t="s">
        <v>196</v>
      </c>
      <c r="B37" s="27" t="s">
        <v>125</v>
      </c>
      <c r="C37" s="10" t="s">
        <v>128</v>
      </c>
      <c r="D37" s="25" t="s">
        <v>44</v>
      </c>
      <c r="E37" s="11" t="n">
        <v>3</v>
      </c>
      <c r="F37" s="11" t="n">
        <v>2</v>
      </c>
      <c r="G37" s="28" t="s">
        <v>82</v>
      </c>
      <c r="H37" s="10"/>
      <c r="I37" s="10"/>
    </row>
    <row r="39" customFormat="false" ht="15" hidden="false" customHeight="false" outlineLevel="0" collapsed="false">
      <c r="C39" s="31" t="s">
        <v>129</v>
      </c>
      <c r="F39" s="32" t="n">
        <f aca="false">SUM(F2:F37)</f>
        <v>33.5</v>
      </c>
    </row>
    <row r="40" customFormat="false" ht="15" hidden="false" customHeight="false" outlineLevel="0" collapsed="false">
      <c r="C40" s="31" t="s">
        <v>130</v>
      </c>
      <c r="F40" s="32" t="n">
        <f aca="false">SUMIF(G2:G37,"Feito",F2:F37)</f>
        <v>0</v>
      </c>
    </row>
  </sheetData>
  <autoFilter ref="A1:I37"/>
  <dataValidations count="1">
    <dataValidation allowBlank="true" errorStyle="stop" operator="between" showDropDown="false" showErrorMessage="false" showInputMessage="false" sqref="G2:G37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4" t="s">
        <v>32</v>
      </c>
      <c r="B1" s="34" t="s">
        <v>33</v>
      </c>
      <c r="C1" s="34" t="s">
        <v>34</v>
      </c>
      <c r="D1" s="34" t="s">
        <v>35</v>
      </c>
      <c r="E1" s="34" t="s">
        <v>36</v>
      </c>
      <c r="F1" s="34" t="s">
        <v>37</v>
      </c>
      <c r="G1" s="34" t="s">
        <v>38</v>
      </c>
      <c r="H1" s="34" t="s">
        <v>39</v>
      </c>
      <c r="I1" s="34" t="s">
        <v>40</v>
      </c>
    </row>
    <row r="2" customFormat="false" ht="15" hidden="false" customHeight="false" outlineLevel="0" collapsed="false">
      <c r="A2" s="23" t="s">
        <v>197</v>
      </c>
      <c r="B2" s="24" t="s">
        <v>198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199</v>
      </c>
      <c r="B3" s="27" t="s">
        <v>198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200</v>
      </c>
      <c r="B4" s="24" t="s">
        <v>198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201</v>
      </c>
      <c r="B5" s="27" t="s">
        <v>198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202</v>
      </c>
      <c r="B6" s="24" t="s">
        <v>203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204</v>
      </c>
      <c r="B7" s="27" t="s">
        <v>203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205</v>
      </c>
      <c r="B8" s="24" t="s">
        <v>203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206</v>
      </c>
      <c r="B9" s="27" t="s">
        <v>203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207</v>
      </c>
      <c r="B10" s="24" t="s">
        <v>208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209</v>
      </c>
      <c r="B11" s="27" t="s">
        <v>208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210</v>
      </c>
      <c r="B12" s="24" t="s">
        <v>208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211</v>
      </c>
      <c r="B13" s="27" t="s">
        <v>208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212</v>
      </c>
      <c r="B14" s="24" t="s">
        <v>213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214</v>
      </c>
      <c r="B15" s="27" t="s">
        <v>213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215</v>
      </c>
      <c r="B16" s="24" t="s">
        <v>213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216</v>
      </c>
      <c r="B17" s="27" t="s">
        <v>213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217</v>
      </c>
      <c r="B18" s="24" t="s">
        <v>218</v>
      </c>
      <c r="C18" s="6" t="s">
        <v>219</v>
      </c>
      <c r="D18" s="25" t="s">
        <v>44</v>
      </c>
      <c r="E18" s="7" t="n">
        <v>2</v>
      </c>
      <c r="F18" s="7" t="n">
        <v>1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220</v>
      </c>
      <c r="B19" s="27" t="s">
        <v>218</v>
      </c>
      <c r="C19" s="10" t="s">
        <v>221</v>
      </c>
      <c r="D19" s="25" t="s">
        <v>44</v>
      </c>
      <c r="E19" s="11" t="n">
        <v>2</v>
      </c>
      <c r="F19" s="11" t="n">
        <v>1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222</v>
      </c>
      <c r="B20" s="24" t="s">
        <v>223</v>
      </c>
      <c r="C20" s="6" t="s">
        <v>224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225</v>
      </c>
      <c r="B21" s="27" t="s">
        <v>223</v>
      </c>
      <c r="C21" s="10" t="s">
        <v>226</v>
      </c>
      <c r="D21" s="25" t="s">
        <v>44</v>
      </c>
      <c r="E21" s="11" t="n">
        <v>2</v>
      </c>
      <c r="F21" s="11" t="n">
        <v>1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227</v>
      </c>
      <c r="B22" s="24" t="s">
        <v>228</v>
      </c>
      <c r="C22" s="6" t="s">
        <v>229</v>
      </c>
      <c r="D22" s="25" t="s">
        <v>44</v>
      </c>
      <c r="E22" s="7" t="n">
        <v>2</v>
      </c>
      <c r="F22" s="7" t="n">
        <v>0.5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230</v>
      </c>
      <c r="B23" s="27" t="s">
        <v>228</v>
      </c>
      <c r="C23" s="10" t="s">
        <v>231</v>
      </c>
      <c r="D23" s="25" t="s">
        <v>44</v>
      </c>
      <c r="E23" s="11" t="n">
        <v>2</v>
      </c>
      <c r="F23" s="11" t="n">
        <v>1.5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232</v>
      </c>
      <c r="B24" s="24" t="s">
        <v>233</v>
      </c>
      <c r="C24" s="6" t="s">
        <v>234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15" hidden="false" customHeight="false" outlineLevel="0" collapsed="false">
      <c r="A25" s="16" t="s">
        <v>235</v>
      </c>
      <c r="B25" s="27" t="s">
        <v>236</v>
      </c>
      <c r="C25" s="10" t="s">
        <v>237</v>
      </c>
      <c r="D25" s="29" t="s">
        <v>114</v>
      </c>
      <c r="E25" s="11" t="n">
        <v>3</v>
      </c>
      <c r="F25" s="11" t="n">
        <v>1.5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238</v>
      </c>
      <c r="B26" s="24" t="s">
        <v>236</v>
      </c>
      <c r="C26" s="6" t="s">
        <v>239</v>
      </c>
      <c r="D26" s="29" t="s">
        <v>114</v>
      </c>
      <c r="E26" s="7" t="n">
        <v>3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240</v>
      </c>
      <c r="B27" s="27" t="s">
        <v>241</v>
      </c>
      <c r="C27" s="10" t="s">
        <v>242</v>
      </c>
      <c r="D27" s="29" t="s">
        <v>114</v>
      </c>
      <c r="E27" s="11" t="n">
        <v>3</v>
      </c>
      <c r="F27" s="11" t="n">
        <v>1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243</v>
      </c>
      <c r="B28" s="24" t="s">
        <v>244</v>
      </c>
      <c r="C28" s="6" t="s">
        <v>245</v>
      </c>
      <c r="D28" s="29" t="s">
        <v>114</v>
      </c>
      <c r="E28" s="7" t="n">
        <v>3</v>
      </c>
      <c r="F28" s="7" t="n">
        <v>1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246</v>
      </c>
      <c r="B29" s="27" t="s">
        <v>125</v>
      </c>
      <c r="C29" s="10" t="s">
        <v>126</v>
      </c>
      <c r="D29" s="25" t="s">
        <v>44</v>
      </c>
      <c r="E29" s="11" t="n">
        <v>3</v>
      </c>
      <c r="F29" s="11" t="n">
        <v>1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247</v>
      </c>
      <c r="B30" s="24" t="s">
        <v>125</v>
      </c>
      <c r="C30" s="6" t="s">
        <v>128</v>
      </c>
      <c r="D30" s="25" t="s">
        <v>44</v>
      </c>
      <c r="E30" s="7" t="n">
        <v>3</v>
      </c>
      <c r="F30" s="7" t="n">
        <v>2</v>
      </c>
      <c r="G30" s="26" t="s">
        <v>82</v>
      </c>
      <c r="H30" s="6"/>
      <c r="I30" s="6"/>
    </row>
    <row r="32" customFormat="false" ht="15" hidden="false" customHeight="false" outlineLevel="0" collapsed="false">
      <c r="C32" s="31" t="s">
        <v>129</v>
      </c>
      <c r="F32" s="32" t="n">
        <f aca="false">SUM(F2:F30)</f>
        <v>27.5</v>
      </c>
    </row>
    <row r="33" customFormat="false" ht="15" hidden="false" customHeight="false" outlineLevel="0" collapsed="false">
      <c r="C33" s="31" t="s">
        <v>130</v>
      </c>
      <c r="F33" s="32" t="n">
        <f aca="false">SUMIF(G2:G30,"Feito",F2:F30)</f>
        <v>0</v>
      </c>
    </row>
  </sheetData>
  <autoFilter ref="A1:I30"/>
  <dataValidations count="1">
    <dataValidation allowBlank="true" errorStyle="stop" operator="between" showDropDown="false" showErrorMessage="false" showInputMessage="false" sqref="G2:G30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5" t="s">
        <v>32</v>
      </c>
      <c r="B1" s="35" t="s">
        <v>33</v>
      </c>
      <c r="C1" s="35" t="s">
        <v>34</v>
      </c>
      <c r="D1" s="35" t="s">
        <v>35</v>
      </c>
      <c r="E1" s="35" t="s">
        <v>36</v>
      </c>
      <c r="F1" s="35" t="s">
        <v>37</v>
      </c>
      <c r="G1" s="35" t="s">
        <v>38</v>
      </c>
      <c r="H1" s="35" t="s">
        <v>39</v>
      </c>
      <c r="I1" s="35" t="s">
        <v>40</v>
      </c>
    </row>
    <row r="2" customFormat="false" ht="15" hidden="false" customHeight="false" outlineLevel="0" collapsed="false">
      <c r="A2" s="23" t="s">
        <v>248</v>
      </c>
      <c r="B2" s="24" t="s">
        <v>249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250</v>
      </c>
      <c r="B3" s="27" t="s">
        <v>249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251</v>
      </c>
      <c r="B4" s="24" t="s">
        <v>249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252</v>
      </c>
      <c r="B5" s="27" t="s">
        <v>249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253</v>
      </c>
      <c r="B6" s="24" t="s">
        <v>254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255</v>
      </c>
      <c r="B7" s="27" t="s">
        <v>254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256</v>
      </c>
      <c r="B8" s="24" t="s">
        <v>254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257</v>
      </c>
      <c r="B9" s="27" t="s">
        <v>254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258</v>
      </c>
      <c r="B10" s="24" t="s">
        <v>259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260</v>
      </c>
      <c r="B11" s="27" t="s">
        <v>259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261</v>
      </c>
      <c r="B12" s="24" t="s">
        <v>259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262</v>
      </c>
      <c r="B13" s="27" t="s">
        <v>259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263</v>
      </c>
      <c r="B14" s="24" t="s">
        <v>264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265</v>
      </c>
      <c r="B15" s="27" t="s">
        <v>264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266</v>
      </c>
      <c r="B16" s="24" t="s">
        <v>264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267</v>
      </c>
      <c r="B17" s="27" t="s">
        <v>264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268</v>
      </c>
      <c r="B18" s="24" t="s">
        <v>269</v>
      </c>
      <c r="C18" s="6" t="s">
        <v>270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271</v>
      </c>
      <c r="B19" s="27" t="s">
        <v>269</v>
      </c>
      <c r="C19" s="10" t="s">
        <v>272</v>
      </c>
      <c r="D19" s="25" t="s">
        <v>44</v>
      </c>
      <c r="E19" s="11" t="n">
        <v>2</v>
      </c>
      <c r="F19" s="11" t="n">
        <v>1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273</v>
      </c>
      <c r="B20" s="24" t="s">
        <v>269</v>
      </c>
      <c r="C20" s="6" t="s">
        <v>274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275</v>
      </c>
      <c r="B21" s="27" t="s">
        <v>276</v>
      </c>
      <c r="C21" s="10" t="s">
        <v>277</v>
      </c>
      <c r="D21" s="25" t="s">
        <v>44</v>
      </c>
      <c r="E21" s="11" t="n">
        <v>2</v>
      </c>
      <c r="F21" s="11" t="n">
        <v>1.5</v>
      </c>
      <c r="G21" s="28" t="s">
        <v>82</v>
      </c>
      <c r="H21" s="10"/>
      <c r="I21" s="10"/>
    </row>
    <row r="22" customFormat="false" ht="23.85" hidden="false" customHeight="false" outlineLevel="0" collapsed="false">
      <c r="A22" s="23" t="s">
        <v>278</v>
      </c>
      <c r="B22" s="24" t="s">
        <v>276</v>
      </c>
      <c r="C22" s="6" t="s">
        <v>279</v>
      </c>
      <c r="D22" s="25" t="s">
        <v>44</v>
      </c>
      <c r="E22" s="7" t="n">
        <v>2</v>
      </c>
      <c r="F22" s="7" t="n">
        <v>0.5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280</v>
      </c>
      <c r="B23" s="27" t="s">
        <v>281</v>
      </c>
      <c r="C23" s="10" t="s">
        <v>282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283</v>
      </c>
      <c r="B24" s="24" t="s">
        <v>281</v>
      </c>
      <c r="C24" s="6" t="s">
        <v>284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15" hidden="false" customHeight="false" outlineLevel="0" collapsed="false">
      <c r="A25" s="16" t="s">
        <v>285</v>
      </c>
      <c r="B25" s="27" t="s">
        <v>286</v>
      </c>
      <c r="C25" s="10" t="s">
        <v>287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288</v>
      </c>
      <c r="B26" s="24" t="s">
        <v>286</v>
      </c>
      <c r="C26" s="6" t="s">
        <v>289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290</v>
      </c>
      <c r="B27" s="27" t="s">
        <v>291</v>
      </c>
      <c r="C27" s="10" t="s">
        <v>292</v>
      </c>
      <c r="D27" s="25" t="s">
        <v>44</v>
      </c>
      <c r="E27" s="11" t="n">
        <v>2</v>
      </c>
      <c r="F27" s="11" t="n">
        <v>1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293</v>
      </c>
      <c r="B28" s="24" t="s">
        <v>291</v>
      </c>
      <c r="C28" s="6" t="s">
        <v>294</v>
      </c>
      <c r="D28" s="25" t="s">
        <v>44</v>
      </c>
      <c r="E28" s="7" t="n">
        <v>2</v>
      </c>
      <c r="F28" s="7" t="n">
        <v>1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295</v>
      </c>
      <c r="B29" s="27" t="s">
        <v>296</v>
      </c>
      <c r="C29" s="10" t="s">
        <v>297</v>
      </c>
      <c r="D29" s="29" t="s">
        <v>114</v>
      </c>
      <c r="E29" s="11" t="n">
        <v>3</v>
      </c>
      <c r="F29" s="11" t="n">
        <v>1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298</v>
      </c>
      <c r="B30" s="24" t="s">
        <v>299</v>
      </c>
      <c r="C30" s="6" t="s">
        <v>300</v>
      </c>
      <c r="D30" s="29" t="s">
        <v>114</v>
      </c>
      <c r="E30" s="7" t="n">
        <v>3</v>
      </c>
      <c r="F30" s="7" t="n">
        <v>1.5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301</v>
      </c>
      <c r="B31" s="27" t="s">
        <v>299</v>
      </c>
      <c r="C31" s="10" t="s">
        <v>302</v>
      </c>
      <c r="D31" s="29" t="s">
        <v>114</v>
      </c>
      <c r="E31" s="11" t="n">
        <v>3</v>
      </c>
      <c r="F31" s="11" t="n">
        <v>1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303</v>
      </c>
      <c r="B32" s="24" t="s">
        <v>125</v>
      </c>
      <c r="C32" s="6" t="s">
        <v>126</v>
      </c>
      <c r="D32" s="25" t="s">
        <v>44</v>
      </c>
      <c r="E32" s="7" t="n">
        <v>3</v>
      </c>
      <c r="F32" s="7" t="n">
        <v>1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304</v>
      </c>
      <c r="B33" s="27" t="s">
        <v>125</v>
      </c>
      <c r="C33" s="10" t="s">
        <v>128</v>
      </c>
      <c r="D33" s="25" t="s">
        <v>44</v>
      </c>
      <c r="E33" s="11" t="n">
        <v>3</v>
      </c>
      <c r="F33" s="11" t="n">
        <v>2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305</v>
      </c>
      <c r="B34" s="24" t="s">
        <v>125</v>
      </c>
      <c r="C34" s="6" t="s">
        <v>306</v>
      </c>
      <c r="D34" s="25" t="s">
        <v>44</v>
      </c>
      <c r="E34" s="7" t="n">
        <v>3</v>
      </c>
      <c r="F34" s="7" t="n">
        <v>1</v>
      </c>
      <c r="G34" s="26" t="s">
        <v>82</v>
      </c>
      <c r="H34" s="6"/>
      <c r="I34" s="6"/>
    </row>
    <row r="36" customFormat="false" ht="15" hidden="false" customHeight="false" outlineLevel="0" collapsed="false">
      <c r="C36" s="31" t="s">
        <v>129</v>
      </c>
      <c r="F36" s="32" t="n">
        <f aca="false">SUM(F2:F34)</f>
        <v>31</v>
      </c>
    </row>
    <row r="37" customFormat="false" ht="15" hidden="false" customHeight="false" outlineLevel="0" collapsed="false">
      <c r="C37" s="31" t="s">
        <v>130</v>
      </c>
      <c r="F37" s="32" t="n">
        <f aca="false">SUMIF(G2:G34,"Feito",F2:F34)</f>
        <v>0</v>
      </c>
    </row>
  </sheetData>
  <autoFilter ref="A1:I34"/>
  <dataValidations count="1">
    <dataValidation allowBlank="true" errorStyle="stop" operator="between" showDropDown="false" showErrorMessage="false" showInputMessage="false" sqref="G2:G34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36" t="s">
        <v>32</v>
      </c>
      <c r="B1" s="36" t="s">
        <v>33</v>
      </c>
      <c r="C1" s="36" t="s">
        <v>34</v>
      </c>
      <c r="D1" s="36" t="s">
        <v>35</v>
      </c>
      <c r="E1" s="36" t="s">
        <v>36</v>
      </c>
      <c r="F1" s="36" t="s">
        <v>37</v>
      </c>
      <c r="G1" s="36" t="s">
        <v>38</v>
      </c>
      <c r="H1" s="36" t="s">
        <v>39</v>
      </c>
      <c r="I1" s="36" t="s">
        <v>40</v>
      </c>
    </row>
    <row r="2" customFormat="false" ht="15" hidden="false" customHeight="false" outlineLevel="0" collapsed="false">
      <c r="A2" s="23" t="s">
        <v>307</v>
      </c>
      <c r="B2" s="24" t="s">
        <v>308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309</v>
      </c>
      <c r="B3" s="27" t="s">
        <v>308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310</v>
      </c>
      <c r="B4" s="24" t="s">
        <v>308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311</v>
      </c>
      <c r="B5" s="27" t="s">
        <v>308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312</v>
      </c>
      <c r="B6" s="24" t="s">
        <v>313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314</v>
      </c>
      <c r="B7" s="27" t="s">
        <v>313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315</v>
      </c>
      <c r="B8" s="24" t="s">
        <v>313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316</v>
      </c>
      <c r="B9" s="27" t="s">
        <v>313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317</v>
      </c>
      <c r="B10" s="24" t="s">
        <v>318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319</v>
      </c>
      <c r="B11" s="27" t="s">
        <v>318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320</v>
      </c>
      <c r="B12" s="24" t="s">
        <v>318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321</v>
      </c>
      <c r="B13" s="27" t="s">
        <v>318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322</v>
      </c>
      <c r="B14" s="24" t="s">
        <v>323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324</v>
      </c>
      <c r="B15" s="27" t="s">
        <v>323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325</v>
      </c>
      <c r="B16" s="24" t="s">
        <v>323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326</v>
      </c>
      <c r="B17" s="27" t="s">
        <v>323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327</v>
      </c>
      <c r="B18" s="24" t="s">
        <v>328</v>
      </c>
      <c r="C18" s="6" t="s">
        <v>329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330</v>
      </c>
      <c r="B19" s="27" t="s">
        <v>328</v>
      </c>
      <c r="C19" s="10" t="s">
        <v>331</v>
      </c>
      <c r="D19" s="25" t="s">
        <v>44</v>
      </c>
      <c r="E19" s="11" t="n">
        <v>2</v>
      </c>
      <c r="F19" s="11" t="n">
        <v>1.5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332</v>
      </c>
      <c r="B20" s="24" t="s">
        <v>333</v>
      </c>
      <c r="C20" s="6" t="s">
        <v>334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335</v>
      </c>
      <c r="B21" s="27" t="s">
        <v>333</v>
      </c>
      <c r="C21" s="10" t="s">
        <v>336</v>
      </c>
      <c r="D21" s="25" t="s">
        <v>44</v>
      </c>
      <c r="E21" s="11" t="n">
        <v>2</v>
      </c>
      <c r="F21" s="11" t="n">
        <v>2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337</v>
      </c>
      <c r="B22" s="24" t="s">
        <v>333</v>
      </c>
      <c r="C22" s="6" t="s">
        <v>338</v>
      </c>
      <c r="D22" s="25" t="s">
        <v>44</v>
      </c>
      <c r="E22" s="7" t="n">
        <v>2</v>
      </c>
      <c r="F22" s="7" t="n">
        <v>2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339</v>
      </c>
      <c r="B23" s="27" t="s">
        <v>333</v>
      </c>
      <c r="C23" s="10" t="s">
        <v>340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341</v>
      </c>
      <c r="B24" s="24" t="s">
        <v>342</v>
      </c>
      <c r="C24" s="6" t="s">
        <v>343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15" hidden="false" customHeight="false" outlineLevel="0" collapsed="false">
      <c r="A25" s="16" t="s">
        <v>344</v>
      </c>
      <c r="B25" s="27" t="s">
        <v>342</v>
      </c>
      <c r="C25" s="10" t="s">
        <v>345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346</v>
      </c>
      <c r="B26" s="24" t="s">
        <v>347</v>
      </c>
      <c r="C26" s="6" t="s">
        <v>348</v>
      </c>
      <c r="D26" s="25" t="s">
        <v>44</v>
      </c>
      <c r="E26" s="7" t="n">
        <v>2</v>
      </c>
      <c r="F26" s="7" t="n">
        <v>1.5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349</v>
      </c>
      <c r="B27" s="27" t="s">
        <v>347</v>
      </c>
      <c r="C27" s="10" t="s">
        <v>350</v>
      </c>
      <c r="D27" s="25" t="s">
        <v>44</v>
      </c>
      <c r="E27" s="11" t="n">
        <v>2</v>
      </c>
      <c r="F27" s="11" t="n">
        <v>0.5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351</v>
      </c>
      <c r="B28" s="24" t="s">
        <v>352</v>
      </c>
      <c r="C28" s="6" t="s">
        <v>353</v>
      </c>
      <c r="D28" s="25" t="s">
        <v>44</v>
      </c>
      <c r="E28" s="7" t="n">
        <v>2</v>
      </c>
      <c r="F28" s="7" t="n">
        <v>1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354</v>
      </c>
      <c r="B29" s="27" t="s">
        <v>352</v>
      </c>
      <c r="C29" s="10" t="s">
        <v>355</v>
      </c>
      <c r="D29" s="25" t="s">
        <v>44</v>
      </c>
      <c r="E29" s="11" t="n">
        <v>2</v>
      </c>
      <c r="F29" s="11" t="n">
        <v>1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356</v>
      </c>
      <c r="B30" s="24" t="s">
        <v>357</v>
      </c>
      <c r="C30" s="6" t="s">
        <v>358</v>
      </c>
      <c r="D30" s="29" t="s">
        <v>114</v>
      </c>
      <c r="E30" s="7" t="n">
        <v>3</v>
      </c>
      <c r="F30" s="7" t="n">
        <v>1.5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359</v>
      </c>
      <c r="B31" s="27" t="s">
        <v>357</v>
      </c>
      <c r="C31" s="10" t="s">
        <v>360</v>
      </c>
      <c r="D31" s="29" t="s">
        <v>114</v>
      </c>
      <c r="E31" s="11" t="n">
        <v>3</v>
      </c>
      <c r="F31" s="11" t="n">
        <v>0.5</v>
      </c>
      <c r="G31" s="28" t="s">
        <v>82</v>
      </c>
      <c r="H31" s="10"/>
      <c r="I31" s="10"/>
    </row>
    <row r="32" customFormat="false" ht="15" hidden="false" customHeight="false" outlineLevel="0" collapsed="false">
      <c r="A32" s="23" t="s">
        <v>361</v>
      </c>
      <c r="B32" s="24" t="s">
        <v>362</v>
      </c>
      <c r="C32" s="6" t="s">
        <v>363</v>
      </c>
      <c r="D32" s="29" t="s">
        <v>114</v>
      </c>
      <c r="E32" s="7" t="n">
        <v>3</v>
      </c>
      <c r="F32" s="7" t="n">
        <v>0.5</v>
      </c>
      <c r="G32" s="26" t="s">
        <v>82</v>
      </c>
      <c r="H32" s="6"/>
      <c r="I32" s="6"/>
    </row>
    <row r="33" customFormat="false" ht="15" hidden="false" customHeight="false" outlineLevel="0" collapsed="false">
      <c r="A33" s="16" t="s">
        <v>364</v>
      </c>
      <c r="B33" s="27" t="s">
        <v>362</v>
      </c>
      <c r="C33" s="10" t="s">
        <v>365</v>
      </c>
      <c r="D33" s="29" t="s">
        <v>114</v>
      </c>
      <c r="E33" s="11" t="n">
        <v>3</v>
      </c>
      <c r="F33" s="11" t="n">
        <v>1</v>
      </c>
      <c r="G33" s="28" t="s">
        <v>82</v>
      </c>
      <c r="H33" s="10"/>
      <c r="I33" s="10"/>
    </row>
    <row r="34" customFormat="false" ht="15" hidden="false" customHeight="false" outlineLevel="0" collapsed="false">
      <c r="A34" s="23" t="s">
        <v>366</v>
      </c>
      <c r="B34" s="24" t="s">
        <v>367</v>
      </c>
      <c r="C34" s="6" t="s">
        <v>368</v>
      </c>
      <c r="D34" s="30" t="s">
        <v>123</v>
      </c>
      <c r="E34" s="7" t="n">
        <v>3</v>
      </c>
      <c r="F34" s="7" t="n">
        <v>1.5</v>
      </c>
      <c r="G34" s="26" t="s">
        <v>82</v>
      </c>
      <c r="H34" s="6"/>
      <c r="I34" s="6"/>
    </row>
    <row r="35" customFormat="false" ht="15" hidden="false" customHeight="false" outlineLevel="0" collapsed="false">
      <c r="A35" s="16" t="s">
        <v>369</v>
      </c>
      <c r="B35" s="27" t="s">
        <v>125</v>
      </c>
      <c r="C35" s="10" t="s">
        <v>126</v>
      </c>
      <c r="D35" s="25" t="s">
        <v>44</v>
      </c>
      <c r="E35" s="11" t="n">
        <v>3</v>
      </c>
      <c r="F35" s="11" t="n">
        <v>1</v>
      </c>
      <c r="G35" s="28" t="s">
        <v>82</v>
      </c>
      <c r="H35" s="10"/>
      <c r="I35" s="10"/>
    </row>
    <row r="36" customFormat="false" ht="15" hidden="false" customHeight="false" outlineLevel="0" collapsed="false">
      <c r="A36" s="23" t="s">
        <v>370</v>
      </c>
      <c r="B36" s="24" t="s">
        <v>125</v>
      </c>
      <c r="C36" s="6" t="s">
        <v>128</v>
      </c>
      <c r="D36" s="25" t="s">
        <v>44</v>
      </c>
      <c r="E36" s="7" t="n">
        <v>3</v>
      </c>
      <c r="F36" s="7" t="n">
        <v>2</v>
      </c>
      <c r="G36" s="26" t="s">
        <v>82</v>
      </c>
      <c r="H36" s="6"/>
      <c r="I36" s="6"/>
    </row>
    <row r="37" customFormat="false" ht="15" hidden="false" customHeight="false" outlineLevel="0" collapsed="false">
      <c r="A37" s="16" t="s">
        <v>371</v>
      </c>
      <c r="B37" s="27" t="s">
        <v>125</v>
      </c>
      <c r="C37" s="10" t="s">
        <v>372</v>
      </c>
      <c r="D37" s="25" t="s">
        <v>44</v>
      </c>
      <c r="E37" s="11" t="n">
        <v>3</v>
      </c>
      <c r="F37" s="11" t="n">
        <v>1</v>
      </c>
      <c r="G37" s="28" t="s">
        <v>82</v>
      </c>
      <c r="H37" s="10"/>
      <c r="I37" s="10"/>
    </row>
    <row r="39" customFormat="false" ht="15" hidden="false" customHeight="false" outlineLevel="0" collapsed="false">
      <c r="C39" s="31" t="s">
        <v>129</v>
      </c>
      <c r="F39" s="32" t="n">
        <f aca="false">SUM(F2:F37)</f>
        <v>36</v>
      </c>
    </row>
    <row r="40" customFormat="false" ht="15" hidden="false" customHeight="false" outlineLevel="0" collapsed="false">
      <c r="C40" s="31" t="s">
        <v>130</v>
      </c>
      <c r="F40" s="32" t="n">
        <f aca="false">SUMIF(G2:G37,"Feito",F2:F37)</f>
        <v>0</v>
      </c>
    </row>
  </sheetData>
  <autoFilter ref="A1:I37"/>
  <dataValidations count="1">
    <dataValidation allowBlank="true" errorStyle="stop" operator="between" showDropDown="false" showErrorMessage="false" showInputMessage="false" sqref="G2:G37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23.85" hidden="false" customHeight="false" outlineLevel="0" collapsed="false">
      <c r="A1" s="4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</row>
    <row r="2" customFormat="false" ht="15" hidden="false" customHeight="false" outlineLevel="0" collapsed="false">
      <c r="A2" s="23" t="s">
        <v>373</v>
      </c>
      <c r="B2" s="24" t="s">
        <v>374</v>
      </c>
      <c r="C2" s="6" t="s">
        <v>43</v>
      </c>
      <c r="D2" s="25" t="s">
        <v>44</v>
      </c>
      <c r="E2" s="7" t="n">
        <v>1</v>
      </c>
      <c r="F2" s="7" t="n">
        <v>0.5</v>
      </c>
      <c r="G2" s="26" t="s">
        <v>45</v>
      </c>
      <c r="H2" s="6"/>
      <c r="I2" s="6"/>
    </row>
    <row r="3" customFormat="false" ht="15" hidden="false" customHeight="false" outlineLevel="0" collapsed="false">
      <c r="A3" s="16" t="s">
        <v>375</v>
      </c>
      <c r="B3" s="27" t="s">
        <v>374</v>
      </c>
      <c r="C3" s="10" t="s">
        <v>47</v>
      </c>
      <c r="D3" s="25" t="s">
        <v>44</v>
      </c>
      <c r="E3" s="11" t="n">
        <v>1</v>
      </c>
      <c r="F3" s="11" t="n">
        <v>0.5</v>
      </c>
      <c r="G3" s="28" t="s">
        <v>45</v>
      </c>
      <c r="H3" s="10"/>
      <c r="I3" s="10"/>
    </row>
    <row r="4" customFormat="false" ht="15" hidden="false" customHeight="false" outlineLevel="0" collapsed="false">
      <c r="A4" s="23" t="s">
        <v>376</v>
      </c>
      <c r="B4" s="24" t="s">
        <v>374</v>
      </c>
      <c r="C4" s="6" t="s">
        <v>49</v>
      </c>
      <c r="D4" s="25" t="s">
        <v>44</v>
      </c>
      <c r="E4" s="7" t="n">
        <v>1</v>
      </c>
      <c r="F4" s="7" t="n">
        <v>1</v>
      </c>
      <c r="G4" s="26" t="s">
        <v>45</v>
      </c>
      <c r="H4" s="6"/>
      <c r="I4" s="6"/>
    </row>
    <row r="5" customFormat="false" ht="23.85" hidden="false" customHeight="false" outlineLevel="0" collapsed="false">
      <c r="A5" s="16" t="s">
        <v>377</v>
      </c>
      <c r="B5" s="27" t="s">
        <v>374</v>
      </c>
      <c r="C5" s="10" t="s">
        <v>51</v>
      </c>
      <c r="D5" s="25" t="s">
        <v>44</v>
      </c>
      <c r="E5" s="11" t="n">
        <v>1</v>
      </c>
      <c r="F5" s="11" t="n">
        <v>1</v>
      </c>
      <c r="G5" s="28" t="s">
        <v>45</v>
      </c>
      <c r="H5" s="10"/>
      <c r="I5" s="10"/>
    </row>
    <row r="6" customFormat="false" ht="15" hidden="false" customHeight="false" outlineLevel="0" collapsed="false">
      <c r="A6" s="23" t="s">
        <v>378</v>
      </c>
      <c r="B6" s="24" t="s">
        <v>379</v>
      </c>
      <c r="C6" s="6" t="s">
        <v>54</v>
      </c>
      <c r="D6" s="25" t="s">
        <v>44</v>
      </c>
      <c r="E6" s="7" t="n">
        <v>1</v>
      </c>
      <c r="F6" s="7" t="n">
        <v>0.5</v>
      </c>
      <c r="G6" s="26" t="s">
        <v>45</v>
      </c>
      <c r="H6" s="6"/>
      <c r="I6" s="6"/>
    </row>
    <row r="7" customFormat="false" ht="15" hidden="false" customHeight="false" outlineLevel="0" collapsed="false">
      <c r="A7" s="16" t="s">
        <v>380</v>
      </c>
      <c r="B7" s="27" t="s">
        <v>379</v>
      </c>
      <c r="C7" s="10" t="s">
        <v>56</v>
      </c>
      <c r="D7" s="25" t="s">
        <v>44</v>
      </c>
      <c r="E7" s="11" t="n">
        <v>1</v>
      </c>
      <c r="F7" s="11" t="n">
        <v>0.5</v>
      </c>
      <c r="G7" s="28" t="s">
        <v>45</v>
      </c>
      <c r="H7" s="10"/>
      <c r="I7" s="10"/>
    </row>
    <row r="8" customFormat="false" ht="15" hidden="false" customHeight="false" outlineLevel="0" collapsed="false">
      <c r="A8" s="23" t="s">
        <v>381</v>
      </c>
      <c r="B8" s="24" t="s">
        <v>379</v>
      </c>
      <c r="C8" s="6" t="s">
        <v>58</v>
      </c>
      <c r="D8" s="25" t="s">
        <v>44</v>
      </c>
      <c r="E8" s="7" t="n">
        <v>1</v>
      </c>
      <c r="F8" s="7" t="n">
        <v>1</v>
      </c>
      <c r="G8" s="26" t="s">
        <v>45</v>
      </c>
      <c r="H8" s="6"/>
      <c r="I8" s="6"/>
    </row>
    <row r="9" customFormat="false" ht="15" hidden="false" customHeight="false" outlineLevel="0" collapsed="false">
      <c r="A9" s="16" t="s">
        <v>382</v>
      </c>
      <c r="B9" s="27" t="s">
        <v>379</v>
      </c>
      <c r="C9" s="10" t="s">
        <v>60</v>
      </c>
      <c r="D9" s="25" t="s">
        <v>44</v>
      </c>
      <c r="E9" s="11" t="n">
        <v>1</v>
      </c>
      <c r="F9" s="11" t="n">
        <v>1.5</v>
      </c>
      <c r="G9" s="28" t="s">
        <v>45</v>
      </c>
      <c r="H9" s="10"/>
      <c r="I9" s="10"/>
    </row>
    <row r="10" customFormat="false" ht="15" hidden="false" customHeight="false" outlineLevel="0" collapsed="false">
      <c r="A10" s="23" t="s">
        <v>383</v>
      </c>
      <c r="B10" s="24" t="s">
        <v>384</v>
      </c>
      <c r="C10" s="6" t="s">
        <v>63</v>
      </c>
      <c r="D10" s="25" t="s">
        <v>44</v>
      </c>
      <c r="E10" s="7" t="n">
        <v>1</v>
      </c>
      <c r="F10" s="7" t="n">
        <v>0.5</v>
      </c>
      <c r="G10" s="26" t="s">
        <v>45</v>
      </c>
      <c r="H10" s="6"/>
      <c r="I10" s="6"/>
    </row>
    <row r="11" customFormat="false" ht="15" hidden="false" customHeight="false" outlineLevel="0" collapsed="false">
      <c r="A11" s="16" t="s">
        <v>385</v>
      </c>
      <c r="B11" s="27" t="s">
        <v>384</v>
      </c>
      <c r="C11" s="10" t="s">
        <v>65</v>
      </c>
      <c r="D11" s="25" t="s">
        <v>44</v>
      </c>
      <c r="E11" s="11" t="n">
        <v>1</v>
      </c>
      <c r="F11" s="11" t="n">
        <v>1</v>
      </c>
      <c r="G11" s="28" t="s">
        <v>45</v>
      </c>
      <c r="H11" s="10"/>
      <c r="I11" s="10"/>
    </row>
    <row r="12" customFormat="false" ht="15" hidden="false" customHeight="false" outlineLevel="0" collapsed="false">
      <c r="A12" s="23" t="s">
        <v>386</v>
      </c>
      <c r="B12" s="24" t="s">
        <v>384</v>
      </c>
      <c r="C12" s="6" t="s">
        <v>67</v>
      </c>
      <c r="D12" s="25" t="s">
        <v>44</v>
      </c>
      <c r="E12" s="7" t="n">
        <v>1</v>
      </c>
      <c r="F12" s="7" t="n">
        <v>0.5</v>
      </c>
      <c r="G12" s="26" t="s">
        <v>45</v>
      </c>
      <c r="H12" s="6"/>
      <c r="I12" s="6"/>
    </row>
    <row r="13" customFormat="false" ht="15" hidden="false" customHeight="false" outlineLevel="0" collapsed="false">
      <c r="A13" s="16" t="s">
        <v>387</v>
      </c>
      <c r="B13" s="27" t="s">
        <v>384</v>
      </c>
      <c r="C13" s="10" t="s">
        <v>69</v>
      </c>
      <c r="D13" s="25" t="s">
        <v>44</v>
      </c>
      <c r="E13" s="11" t="n">
        <v>1</v>
      </c>
      <c r="F13" s="11" t="n">
        <v>0.5</v>
      </c>
      <c r="G13" s="28" t="s">
        <v>45</v>
      </c>
      <c r="H13" s="10"/>
      <c r="I13" s="10"/>
    </row>
    <row r="14" customFormat="false" ht="15" hidden="false" customHeight="false" outlineLevel="0" collapsed="false">
      <c r="A14" s="23" t="s">
        <v>388</v>
      </c>
      <c r="B14" s="24" t="s">
        <v>389</v>
      </c>
      <c r="C14" s="6" t="s">
        <v>72</v>
      </c>
      <c r="D14" s="25" t="s">
        <v>44</v>
      </c>
      <c r="E14" s="7" t="n">
        <v>1</v>
      </c>
      <c r="F14" s="7" t="n">
        <v>1</v>
      </c>
      <c r="G14" s="26" t="s">
        <v>45</v>
      </c>
      <c r="H14" s="6"/>
      <c r="I14" s="6"/>
    </row>
    <row r="15" customFormat="false" ht="15" hidden="false" customHeight="false" outlineLevel="0" collapsed="false">
      <c r="A15" s="16" t="s">
        <v>390</v>
      </c>
      <c r="B15" s="27" t="s">
        <v>389</v>
      </c>
      <c r="C15" s="10" t="s">
        <v>74</v>
      </c>
      <c r="D15" s="25" t="s">
        <v>44</v>
      </c>
      <c r="E15" s="11" t="n">
        <v>1</v>
      </c>
      <c r="F15" s="11" t="n">
        <v>1</v>
      </c>
      <c r="G15" s="28" t="s">
        <v>45</v>
      </c>
      <c r="H15" s="10"/>
      <c r="I15" s="10"/>
    </row>
    <row r="16" customFormat="false" ht="15" hidden="false" customHeight="false" outlineLevel="0" collapsed="false">
      <c r="A16" s="23" t="s">
        <v>391</v>
      </c>
      <c r="B16" s="24" t="s">
        <v>389</v>
      </c>
      <c r="C16" s="6" t="s">
        <v>76</v>
      </c>
      <c r="D16" s="25" t="s">
        <v>44</v>
      </c>
      <c r="E16" s="7" t="n">
        <v>1</v>
      </c>
      <c r="F16" s="7" t="n">
        <v>1</v>
      </c>
      <c r="G16" s="26" t="s">
        <v>45</v>
      </c>
      <c r="H16" s="6"/>
      <c r="I16" s="6"/>
    </row>
    <row r="17" customFormat="false" ht="15" hidden="false" customHeight="false" outlineLevel="0" collapsed="false">
      <c r="A17" s="16" t="s">
        <v>392</v>
      </c>
      <c r="B17" s="27" t="s">
        <v>389</v>
      </c>
      <c r="C17" s="10" t="s">
        <v>78</v>
      </c>
      <c r="D17" s="25" t="s">
        <v>44</v>
      </c>
      <c r="E17" s="11" t="n">
        <v>1</v>
      </c>
      <c r="F17" s="11" t="n">
        <v>1</v>
      </c>
      <c r="G17" s="28" t="s">
        <v>45</v>
      </c>
      <c r="H17" s="10"/>
      <c r="I17" s="10"/>
    </row>
    <row r="18" customFormat="false" ht="15" hidden="false" customHeight="false" outlineLevel="0" collapsed="false">
      <c r="A18" s="23" t="s">
        <v>393</v>
      </c>
      <c r="B18" s="24" t="s">
        <v>394</v>
      </c>
      <c r="C18" s="6" t="s">
        <v>395</v>
      </c>
      <c r="D18" s="25" t="s">
        <v>44</v>
      </c>
      <c r="E18" s="7" t="n">
        <v>2</v>
      </c>
      <c r="F18" s="7" t="n">
        <v>0.5</v>
      </c>
      <c r="G18" s="26" t="s">
        <v>82</v>
      </c>
      <c r="H18" s="6"/>
      <c r="I18" s="6"/>
    </row>
    <row r="19" customFormat="false" ht="15" hidden="false" customHeight="false" outlineLevel="0" collapsed="false">
      <c r="A19" s="16" t="s">
        <v>396</v>
      </c>
      <c r="B19" s="27" t="s">
        <v>394</v>
      </c>
      <c r="C19" s="10" t="s">
        <v>397</v>
      </c>
      <c r="D19" s="25" t="s">
        <v>44</v>
      </c>
      <c r="E19" s="11" t="n">
        <v>2</v>
      </c>
      <c r="F19" s="11" t="n">
        <v>1</v>
      </c>
      <c r="G19" s="28" t="s">
        <v>82</v>
      </c>
      <c r="H19" s="10"/>
      <c r="I19" s="10"/>
    </row>
    <row r="20" customFormat="false" ht="15" hidden="false" customHeight="false" outlineLevel="0" collapsed="false">
      <c r="A20" s="23" t="s">
        <v>398</v>
      </c>
      <c r="B20" s="24" t="s">
        <v>394</v>
      </c>
      <c r="C20" s="6" t="s">
        <v>399</v>
      </c>
      <c r="D20" s="25" t="s">
        <v>44</v>
      </c>
      <c r="E20" s="7" t="n">
        <v>2</v>
      </c>
      <c r="F20" s="7" t="n">
        <v>1</v>
      </c>
      <c r="G20" s="26" t="s">
        <v>82</v>
      </c>
      <c r="H20" s="6"/>
      <c r="I20" s="6"/>
    </row>
    <row r="21" customFormat="false" ht="15" hidden="false" customHeight="false" outlineLevel="0" collapsed="false">
      <c r="A21" s="16" t="s">
        <v>400</v>
      </c>
      <c r="B21" s="27" t="s">
        <v>401</v>
      </c>
      <c r="C21" s="10" t="s">
        <v>402</v>
      </c>
      <c r="D21" s="25" t="s">
        <v>44</v>
      </c>
      <c r="E21" s="11" t="n">
        <v>2</v>
      </c>
      <c r="F21" s="11" t="n">
        <v>1</v>
      </c>
      <c r="G21" s="28" t="s">
        <v>82</v>
      </c>
      <c r="H21" s="10"/>
      <c r="I21" s="10"/>
    </row>
    <row r="22" customFormat="false" ht="15" hidden="false" customHeight="false" outlineLevel="0" collapsed="false">
      <c r="A22" s="23" t="s">
        <v>403</v>
      </c>
      <c r="B22" s="24" t="s">
        <v>401</v>
      </c>
      <c r="C22" s="6" t="s">
        <v>404</v>
      </c>
      <c r="D22" s="25" t="s">
        <v>44</v>
      </c>
      <c r="E22" s="7" t="n">
        <v>2</v>
      </c>
      <c r="F22" s="7" t="n">
        <v>1</v>
      </c>
      <c r="G22" s="26" t="s">
        <v>82</v>
      </c>
      <c r="H22" s="6"/>
      <c r="I22" s="6"/>
    </row>
    <row r="23" customFormat="false" ht="15" hidden="false" customHeight="false" outlineLevel="0" collapsed="false">
      <c r="A23" s="16" t="s">
        <v>405</v>
      </c>
      <c r="B23" s="27" t="s">
        <v>406</v>
      </c>
      <c r="C23" s="10" t="s">
        <v>407</v>
      </c>
      <c r="D23" s="25" t="s">
        <v>44</v>
      </c>
      <c r="E23" s="11" t="n">
        <v>2</v>
      </c>
      <c r="F23" s="11" t="n">
        <v>1</v>
      </c>
      <c r="G23" s="28" t="s">
        <v>82</v>
      </c>
      <c r="H23" s="10"/>
      <c r="I23" s="10"/>
    </row>
    <row r="24" customFormat="false" ht="15" hidden="false" customHeight="false" outlineLevel="0" collapsed="false">
      <c r="A24" s="23" t="s">
        <v>408</v>
      </c>
      <c r="B24" s="24" t="s">
        <v>409</v>
      </c>
      <c r="C24" s="6" t="s">
        <v>410</v>
      </c>
      <c r="D24" s="25" t="s">
        <v>44</v>
      </c>
      <c r="E24" s="7" t="n">
        <v>2</v>
      </c>
      <c r="F24" s="7" t="n">
        <v>1</v>
      </c>
      <c r="G24" s="26" t="s">
        <v>82</v>
      </c>
      <c r="H24" s="6"/>
      <c r="I24" s="6"/>
    </row>
    <row r="25" customFormat="false" ht="23.85" hidden="false" customHeight="false" outlineLevel="0" collapsed="false">
      <c r="A25" s="16" t="s">
        <v>411</v>
      </c>
      <c r="B25" s="27" t="s">
        <v>409</v>
      </c>
      <c r="C25" s="10" t="s">
        <v>412</v>
      </c>
      <c r="D25" s="25" t="s">
        <v>44</v>
      </c>
      <c r="E25" s="11" t="n">
        <v>2</v>
      </c>
      <c r="F25" s="11" t="n">
        <v>1</v>
      </c>
      <c r="G25" s="28" t="s">
        <v>82</v>
      </c>
      <c r="H25" s="10"/>
      <c r="I25" s="10"/>
    </row>
    <row r="26" customFormat="false" ht="15" hidden="false" customHeight="false" outlineLevel="0" collapsed="false">
      <c r="A26" s="23" t="s">
        <v>413</v>
      </c>
      <c r="B26" s="24" t="s">
        <v>414</v>
      </c>
      <c r="C26" s="6" t="s">
        <v>415</v>
      </c>
      <c r="D26" s="25" t="s">
        <v>44</v>
      </c>
      <c r="E26" s="7" t="n">
        <v>2</v>
      </c>
      <c r="F26" s="7" t="n">
        <v>1</v>
      </c>
      <c r="G26" s="26" t="s">
        <v>82</v>
      </c>
      <c r="H26" s="6"/>
      <c r="I26" s="6"/>
    </row>
    <row r="27" customFormat="false" ht="15" hidden="false" customHeight="false" outlineLevel="0" collapsed="false">
      <c r="A27" s="16" t="s">
        <v>416</v>
      </c>
      <c r="B27" s="27" t="s">
        <v>417</v>
      </c>
      <c r="C27" s="10" t="s">
        <v>418</v>
      </c>
      <c r="D27" s="29" t="s">
        <v>114</v>
      </c>
      <c r="E27" s="11" t="n">
        <v>3</v>
      </c>
      <c r="F27" s="11" t="n">
        <v>1.5</v>
      </c>
      <c r="G27" s="28" t="s">
        <v>82</v>
      </c>
      <c r="H27" s="10"/>
      <c r="I27" s="10"/>
    </row>
    <row r="28" customFormat="false" ht="15" hidden="false" customHeight="false" outlineLevel="0" collapsed="false">
      <c r="A28" s="23" t="s">
        <v>419</v>
      </c>
      <c r="B28" s="24" t="s">
        <v>417</v>
      </c>
      <c r="C28" s="6" t="s">
        <v>420</v>
      </c>
      <c r="D28" s="29" t="s">
        <v>114</v>
      </c>
      <c r="E28" s="7" t="n">
        <v>3</v>
      </c>
      <c r="F28" s="7" t="n">
        <v>1</v>
      </c>
      <c r="G28" s="26" t="s">
        <v>82</v>
      </c>
      <c r="H28" s="6"/>
      <c r="I28" s="6"/>
    </row>
    <row r="29" customFormat="false" ht="15" hidden="false" customHeight="false" outlineLevel="0" collapsed="false">
      <c r="A29" s="16" t="s">
        <v>421</v>
      </c>
      <c r="B29" s="27" t="s">
        <v>422</v>
      </c>
      <c r="C29" s="10" t="s">
        <v>423</v>
      </c>
      <c r="D29" s="29" t="s">
        <v>114</v>
      </c>
      <c r="E29" s="11" t="n">
        <v>3</v>
      </c>
      <c r="F29" s="11" t="n">
        <v>1</v>
      </c>
      <c r="G29" s="28" t="s">
        <v>82</v>
      </c>
      <c r="H29" s="10"/>
      <c r="I29" s="10"/>
    </row>
    <row r="30" customFormat="false" ht="15" hidden="false" customHeight="false" outlineLevel="0" collapsed="false">
      <c r="A30" s="23" t="s">
        <v>424</v>
      </c>
      <c r="B30" s="24" t="s">
        <v>125</v>
      </c>
      <c r="C30" s="6" t="s">
        <v>126</v>
      </c>
      <c r="D30" s="25" t="s">
        <v>44</v>
      </c>
      <c r="E30" s="7" t="n">
        <v>3</v>
      </c>
      <c r="F30" s="7" t="n">
        <v>1</v>
      </c>
      <c r="G30" s="26" t="s">
        <v>82</v>
      </c>
      <c r="H30" s="6"/>
      <c r="I30" s="6"/>
    </row>
    <row r="31" customFormat="false" ht="15" hidden="false" customHeight="false" outlineLevel="0" collapsed="false">
      <c r="A31" s="16" t="s">
        <v>425</v>
      </c>
      <c r="B31" s="27" t="s">
        <v>125</v>
      </c>
      <c r="C31" s="10" t="s">
        <v>128</v>
      </c>
      <c r="D31" s="25" t="s">
        <v>44</v>
      </c>
      <c r="E31" s="11" t="n">
        <v>3</v>
      </c>
      <c r="F31" s="11" t="n">
        <v>2</v>
      </c>
      <c r="G31" s="28" t="s">
        <v>82</v>
      </c>
      <c r="H31" s="10"/>
      <c r="I31" s="10"/>
    </row>
    <row r="33" customFormat="false" ht="15" hidden="false" customHeight="false" outlineLevel="0" collapsed="false">
      <c r="C33" s="31" t="s">
        <v>129</v>
      </c>
      <c r="F33" s="32" t="n">
        <f aca="false">SUM(F2:F31)</f>
        <v>28</v>
      </c>
    </row>
    <row r="34" customFormat="false" ht="15" hidden="false" customHeight="false" outlineLevel="0" collapsed="false">
      <c r="C34" s="31" t="s">
        <v>130</v>
      </c>
      <c r="F34" s="32" t="n">
        <f aca="false">SUMIF(G2:G31,"Feito",F2:F31)</f>
        <v>0</v>
      </c>
    </row>
  </sheetData>
  <autoFilter ref="A1:I31"/>
  <dataValidations count="1">
    <dataValidation allowBlank="true" errorStyle="stop" operator="between" showDropDown="false" showErrorMessage="false" showInputMessage="false" sqref="G2:G31" type="list">
      <formula1>"Backlog,A Fazer,Fazendo,Em Review,Feito"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2026-08-13T17:38:29Z</dcterms:created>
  <dc:creator>openpyxl</dc:creator>
  <dc:description/>
  <dc:language>en-US</dc:language>
  <cp:lastModifiedBy/>
  <dcterms:modified xsi:type="dcterms:W3CDTF">2026-08-13T17:38:30Z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